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G:\RECENTES\GAB\DASHBOARD\"/>
    </mc:Choice>
  </mc:AlternateContent>
  <xr:revisionPtr revIDLastSave="0" documentId="13_ncr:1_{4816131D-9B26-4CA4-BBCE-0B1E2F1A2952}" xr6:coauthVersionLast="47" xr6:coauthVersionMax="47" xr10:uidLastSave="{00000000-0000-0000-0000-000000000000}"/>
  <bookViews>
    <workbookView xWindow="-120" yWindow="-120" windowWidth="24240" windowHeight="13020" xr2:uid="{00000000-000D-0000-FFFF-FFFF00000000}"/>
  </bookViews>
  <sheets>
    <sheet name="Sheet1" sheetId="1" r:id="rId1"/>
  </sheets>
  <definedNames>
    <definedName name="aneII_incII" localSheetId="0">Sheet1!#REF!</definedName>
    <definedName name="aneII_incIII" localSheetId="0">Sheet1!#REF!</definedName>
    <definedName name="aneII_incIV"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0" i="1" l="1"/>
  <c r="O28" i="1"/>
  <c r="O29" i="1"/>
  <c r="O27" i="1"/>
  <c r="O26" i="1"/>
  <c r="O24" i="1" l="1"/>
  <c r="O2" i="1" l="1"/>
  <c r="O4" i="1"/>
  <c r="O23" i="1"/>
  <c r="O18" i="1"/>
  <c r="O13" i="1"/>
  <c r="O8" i="1"/>
  <c r="O3" i="1"/>
  <c r="O7" i="1"/>
  <c r="O9" i="1"/>
  <c r="O10" i="1"/>
  <c r="O11" i="1"/>
  <c r="O12" i="1"/>
  <c r="O14" i="1"/>
  <c r="O16" i="1"/>
  <c r="O17" i="1"/>
  <c r="O19" i="1"/>
  <c r="O20" i="1"/>
  <c r="O21" i="1"/>
  <c r="O22" i="1"/>
  <c r="O6" i="1"/>
  <c r="O5" i="1"/>
  <c r="O25" i="1"/>
  <c r="E15" i="1"/>
  <c r="O15" i="1" s="1"/>
</calcChain>
</file>

<file path=xl/sharedStrings.xml><?xml version="1.0" encoding="utf-8"?>
<sst xmlns="http://schemas.openxmlformats.org/spreadsheetml/2006/main" count="367" uniqueCount="291">
  <si>
    <t>Processo SEI</t>
  </si>
  <si>
    <t>Fonte de Custeio</t>
  </si>
  <si>
    <t>Unidade SECTI Responsável</t>
  </si>
  <si>
    <t>Instituição Parceira</t>
  </si>
  <si>
    <t>Ponto Focal na Instituição Parceira</t>
  </si>
  <si>
    <t>Comissão Gestora da Parceria</t>
  </si>
  <si>
    <t>Situação atual</t>
  </si>
  <si>
    <t>Execução do Projeto</t>
  </si>
  <si>
    <t>Observações</t>
  </si>
  <si>
    <t>04008-00000897/2023-39</t>
  </si>
  <si>
    <t>ONG. CERRADO LIVRE</t>
  </si>
  <si>
    <t>ANDRÉ MAURO (61) 9 9672-2265</t>
  </si>
  <si>
    <t>07/08/2023 a 20/12/23 Produção: 14/08/2023 a 09/12/2023</t>
  </si>
  <si>
    <t>04008-00000878/2023-11</t>
  </si>
  <si>
    <t>DIJE</t>
  </si>
  <si>
    <t>MOVIMENTO INOVA</t>
  </si>
  <si>
    <t>ACI BARBOSA (61) 9 8421-8838</t>
  </si>
  <si>
    <t>Em fase de Prestação de Contas</t>
  </si>
  <si>
    <t>Evento: 27, 28 e 29/10/2023</t>
  </si>
  <si>
    <t>04008-00001351/2023-03</t>
  </si>
  <si>
    <t>DICID</t>
  </si>
  <si>
    <t>PROJETO AS - SERVIR E AMAR</t>
  </si>
  <si>
    <t>BRUNO KESSELER (61) 98601-5960</t>
  </si>
  <si>
    <t>04008-00001348/2023-81</t>
  </si>
  <si>
    <t>INSTITUTO BRASIL RESPEITO HUMANO</t>
  </si>
  <si>
    <t>WILKER (61) 99194-9533</t>
  </si>
  <si>
    <t>-</t>
  </si>
  <si>
    <t>04008-00001350/2023-51</t>
  </si>
  <si>
    <t>INSTITUTO ASCENDE DE POLÍTICAS PÚBLICAS</t>
  </si>
  <si>
    <t>PROF. RICARDO CALDAS (61) 98141-0000</t>
  </si>
  <si>
    <t>04008-00001407/2023-11</t>
  </si>
  <si>
    <t>ASSOCIAÇÃO BRASIL STARTUPS</t>
  </si>
  <si>
    <t>HUGO GIALLANZA (61) 98275-2274</t>
  </si>
  <si>
    <t>04008-00001406/2023-77</t>
  </si>
  <si>
    <t>SALVE UM NEGÓCIO</t>
  </si>
  <si>
    <t>FEDERAÇÃO DAS EMPRESAS JUNIORES DO DF</t>
  </si>
  <si>
    <t>CAIO - COCENTRO (31) 98448-3762</t>
  </si>
  <si>
    <t>04008-00001409/2023-19</t>
  </si>
  <si>
    <t>INSTITUTO CONECTA BRASIL</t>
  </si>
  <si>
    <t>EDUARDO MOREIRA (61) 9 9143-0853</t>
  </si>
  <si>
    <t>13/12/23 a 31/06/2024</t>
  </si>
  <si>
    <t>04008-00001257/2023-46</t>
  </si>
  <si>
    <t>Edital de Credenciamento Nº XX/2023</t>
  </si>
  <si>
    <t>Novo Edital de Credenciamento ao Projeto Conecta DF (Renovação do Wi-Fi Social)</t>
  </si>
  <si>
    <t>Edital em fase de revisão</t>
  </si>
  <si>
    <t>04008-00000860/2023-19</t>
  </si>
  <si>
    <t>Fonte 100 </t>
  </si>
  <si>
    <t>INOVA DF</t>
  </si>
  <si>
    <t>  </t>
  </si>
  <si>
    <t>04008-00000866/2023-88</t>
  </si>
  <si>
    <t>  Chamada Pública nº 001/2023, do Edital n.º 01/2023 - DESAFIO DF</t>
  </si>
  <si>
    <t>Projeto “Programa de Desenvolvimento Regional e Transformação Digital das Cadeias Produtivas dos Municípios do entorno do DF</t>
  </si>
  <si>
    <t>SUPCDT/SICID</t>
  </si>
  <si>
    <t>00080-00123677/2023-21</t>
  </si>
  <si>
    <t>Apoio ao XII Circuito de Ciências das Escolas Públicas do Distrito Federal, exarado pela Coordenação Regional de Ensino de Sobradinho.</t>
  </si>
  <si>
    <t>não houve</t>
  </si>
  <si>
    <t>Fomentar a educação através da ciência, tecnologia e inovação</t>
  </si>
  <si>
    <t>Apenas apoio</t>
  </si>
  <si>
    <t>04008-00001258/2023-91</t>
  </si>
  <si>
    <t>Apoio ao Evento GeekVerse Festival</t>
  </si>
  <si>
    <t>Divulgar a Secretaria de Estado de Ciência, Tecnologia e Inovação juntamente com o Governo do Distrito Federal, atravez das ações da Subsecretaria de Inovação, Capacitação e Inclusão Digital. </t>
  </si>
  <si>
    <t>04008-00000126/2022-61</t>
  </si>
  <si>
    <t>O Projeto Wi-Fi Social DF não onera o orçamento da SECTI</t>
  </si>
  <si>
    <t>O Projeto Wi-Fi Social DF tem por objetivo oferecer à sociedade conexão gratuita à internet, por meio de sinal Wi-Fi, em diversos pontos do Distrito Federal. A principal finalidade do projeto é a inclusão digital e social da população.</t>
  </si>
  <si>
    <t>Planeja-se a continuidade do projeto, de forma a alcançar todas as Regiões Administrativas do Distrito Federal até o final da gestão do Governo, contudo está sendo trabalhada em uma nova versão do Edital de Credenciamento</t>
  </si>
  <si>
    <t>No ano de 2023, o Projeto Wi-Fi Social DF contabilizou mais de 100 milhões de acessos em todos os pontos que já contam com o serviço. Ademais, neste ano o Projeto Wi-Fi Social DF foi instalado em 19 novos pontos distribuídas em 26 Regiões Administrativas, totalizando 114 pontos instalados desde o início do projeto.</t>
  </si>
  <si>
    <t>Dayane Tavares da Silva Veras, Gustavo Alves Gomes, Ana Clara Tavares da Silva, Éden Agnel da Silva Albuquerque</t>
  </si>
  <si>
    <t>Altamiro Pereira F. Junior, Gilberto Keiji Haraguchi, Ana Clara Tavares da Silva</t>
  </si>
  <si>
    <t>Valor</t>
  </si>
  <si>
    <t>04008-00000935/2023-53</t>
  </si>
  <si>
    <t>FETUC - FEIRA DE EMPREENDEDORISMO TURÍSTICO E CRIATIVO - 2ª EDIÇÃO</t>
  </si>
  <si>
    <t>04008-00001021/2023-18</t>
  </si>
  <si>
    <t>BXB - BRASÍLIA DESIGN WEEK</t>
  </si>
  <si>
    <t>INSTITUTO DESPONTA BRASIL</t>
  </si>
  <si>
    <t>04008-00000934/2023-17</t>
  </si>
  <si>
    <t>EXPO IMPACTO</t>
  </si>
  <si>
    <t>ASSOCIAÇÃO AMIGOS DO FUTURO</t>
  </si>
  <si>
    <t>04008-00000755/2020-29</t>
  </si>
  <si>
    <t>Claudio Abrantes</t>
  </si>
  <si>
    <t>Patrícia Moutinho Correia, 277609X;</t>
  </si>
  <si>
    <t>Redação do Parecer Técnico Conclusivo de Análise de Prestação de Contas Final.</t>
  </si>
  <si>
    <t>00001-00016725/2022-13</t>
  </si>
  <si>
    <t>Rodrigo Dellmasso</t>
  </si>
  <si>
    <t>“HACKACITY GUARÁ: MUTIRÃO CIDADE INTELIGENTE”</t>
  </si>
  <si>
    <t>04008-00001117/2021-14</t>
  </si>
  <si>
    <t>CIDADE INTELIGENTE GAMA</t>
  </si>
  <si>
    <t>Rescisão unilateral do Termo de Fomento</t>
  </si>
  <si>
    <t>04008-00000132/2023-07</t>
  </si>
  <si>
    <t>Chamada Pública nº 02/2023 do Edital nº 01/2023</t>
  </si>
  <si>
    <t>Pesquisa voltada a caracterização mecânica do "plástico contaminado" separado no programa Reciclotech, instituído por meio do do Edital de chamamento Público N.° 10/2021, com a finalidade de identificar formas de aplicação deste insumo e o desenvolvimento de novas tecnologias</t>
  </si>
  <si>
    <t>Análise das propostas</t>
  </si>
  <si>
    <t>entrega da proposta</t>
  </si>
  <si>
    <t>04008-00000842/2023-29</t>
  </si>
  <si>
    <t>Edital n° 15/2023</t>
  </si>
  <si>
    <t>GILMAR MARQUES, matrícula nº 1700951-0, por parte da FAPDF e as servidoras KAMILA NASCIMENTO RANGEL, matrícula nº 02834790, PATRÍCIA DE ARAGÃO CARVALHO</t>
  </si>
  <si>
    <t>Avaliação da documentação</t>
  </si>
  <si>
    <t>00193-00001151/2019-47</t>
  </si>
  <si>
    <t>Inovatech</t>
  </si>
  <si>
    <t>Qualificar profissionais em novas tecnologias, especialmente aquelas ligadas à indústria 4.0, assim como apoiar a inserção massiva destas tecnologias nos processos produtivos das empresas do DF, a partir da modernização de processos, inovaçäo em produtos e certificação de qualidade, conferindo ao setor produtivo local ganhos expressivos de competitividade e de mercado.</t>
  </si>
  <si>
    <t>SENAI e FAP/DF</t>
  </si>
  <si>
    <t>Marco Seco - Diretor Regional</t>
  </si>
  <si>
    <t>Em execução</t>
  </si>
  <si>
    <t>Termo Aditivo para utilizar os recursos do dinheiro que rendeu na aplicação para ofertar mais cursos para 2024.</t>
  </si>
  <si>
    <t>04008-00000718/2021-00</t>
  </si>
  <si>
    <t>Reciclotech</t>
  </si>
  <si>
    <t>Este instrumento tem por objeto promover a manutenção e ampliação das ações do projeto inovador de logística reversa, recondicionamento e reciclagem de equipamentos eletrônicos, com polo de economia circular (PEC) e formação de jovens e adultos em tecnologia da informação.</t>
  </si>
  <si>
    <t>FAP-DF e Programando o Futuro</t>
  </si>
  <si>
    <t>Vilmar Simion Nascimento - Coordenador Geral</t>
  </si>
  <si>
    <t>Renovação do projeto no processo SEI n° 04008-00000842/2023-29</t>
  </si>
  <si>
    <t>FERNANDO BORGES, (61) 98133-9587</t>
  </si>
  <si>
    <t>MARIA VIEIRA AMORIM FRANCO, (61) 99574-9246</t>
  </si>
  <si>
    <t>Gerson Berbet Júnior, 278878-0;
Bruno Limeira Teixeira Pinheiro, 02784424;
Patrícia Moutinho Correia, 277609X;
Davi Ferreira da Costa, 02824744;</t>
  </si>
  <si>
    <t>CRISTIANE PEREIRA, (61) 99198-0938</t>
  </si>
  <si>
    <t>MATEUS, (61) 98490-6006</t>
  </si>
  <si>
    <t>Gerson Berbet Júnior, 278878-0;
Michele Campos dos S L Anconi, 02824744;
Patrícia Moutinho Correia, 277609X;
Bruno Limeira Teixeira Pinheiro, 02784424;</t>
  </si>
  <si>
    <t>Lucas Candeira Albuquerque Teotonio, 278878-0;
Gerson Berbet Júnior, 278878-0;
Altamiro Pereira Faleiro Júnior, 00991171;</t>
  </si>
  <si>
    <t>LUCAS CANDEIRA ALBUQUERQUE TEOTÔNIO - Matr.0273892-9
LUCIANA DE CASTRO CABRERO GUIMARAES - Matr.1709979-X
ANA PAULA ALMEIDA ARAGÃO- Matr. 1700483-7</t>
  </si>
  <si>
    <t>SUPCDT</t>
  </si>
  <si>
    <t>GUSTAVO AUGUSTO, (61) 98164-5096</t>
  </si>
  <si>
    <t>Emenda Parlamentar</t>
  </si>
  <si>
    <t>INOVAPOL
É um programa de promoção da inovação aberta, dedicada à segurança pública, que promove o desenvolvimento tecnológico encadeado entre empresas líderes e proponentes e oferece acesso a fontes de financiamento. Ocorre como um concurso que seleciona iniciativas para recebimento de diversas vantagens.</t>
  </si>
  <si>
    <t>Mais informações do fomento</t>
  </si>
  <si>
    <t>Fomento</t>
  </si>
  <si>
    <t xml:space="preserve"> XII Circuito de Ciências das Escolas Públicas DF</t>
  </si>
  <si>
    <t xml:space="preserve"> DESAFIO DF</t>
  </si>
  <si>
    <t xml:space="preserve"> FAPDF</t>
  </si>
  <si>
    <t xml:space="preserve">Wi-Fi Social </t>
  </si>
  <si>
    <t>100 EPI</t>
  </si>
  <si>
    <t xml:space="preserve">100 EPI  </t>
  </si>
  <si>
    <t xml:space="preserve"> (antigo Wi-Fi Social DF) não onera o orçamento da SECTI, tendo em vista que o projeto fora regido através da versão anterior do Edital de Credenciamento 01/2022</t>
  </si>
  <si>
    <t xml:space="preserve">Fonte 100 </t>
  </si>
  <si>
    <t>CODESE</t>
  </si>
  <si>
    <t xml:space="preserve"> FPCIAA</t>
  </si>
  <si>
    <t xml:space="preserve">FAPDF E CDESEDF
</t>
  </si>
  <si>
    <t>AECEC</t>
  </si>
  <si>
    <t xml:space="preserve"> IDISC</t>
  </si>
  <si>
    <t xml:space="preserve">Unidade Orçamentária: 40.201
</t>
  </si>
  <si>
    <t>Fonte de Recursos: 100100000
Programa de Trabalho: 19571620760260012
Natureza da Despesa: 339020</t>
  </si>
  <si>
    <t>Evento: 09,10,11 e 12/11/23.</t>
  </si>
  <si>
    <t>Evento: 24, 25 e 26/11.</t>
  </si>
  <si>
    <t xml:space="preserve"> 1ª etapa: 02/10/2023 a 03/01/2024</t>
  </si>
  <si>
    <t>Outubro/23 a Agosto/2024</t>
  </si>
  <si>
    <t xml:space="preserve"> Evento: 20 a 23/11/2023</t>
  </si>
  <si>
    <t>01/12/23 a 31/03/2024</t>
  </si>
  <si>
    <t>Search index</t>
  </si>
  <si>
    <t>INOVAPOL</t>
  </si>
  <si>
    <t>CAPACITECH</t>
  </si>
  <si>
    <t>FETUC - 2ª EDIÇÃO</t>
  </si>
  <si>
    <t xml:space="preserve"> INCLUSÃO E-SPORTS</t>
  </si>
  <si>
    <t>OBSERVATÓRIO DE DEFESA DO PAGADOR DE IMPOSTOS</t>
  </si>
  <si>
    <t>CONECTA</t>
  </si>
  <si>
    <t>AVANT CERRADO</t>
  </si>
  <si>
    <t> BSB PLAY</t>
  </si>
  <si>
    <t>Fonte 100</t>
  </si>
  <si>
    <t> Programa de Trabalho: 19.571.6207.6026.0012 - EXECUÇÃO DE ATIVIDADES DE FOMENTO AO DESENVOLVIMENTO CIENTÍFICO, TECNOLÓGICO E DE INOVAÇÃO</t>
  </si>
  <si>
    <t>Até 31/05/2024</t>
  </si>
  <si>
    <t>Projeto</t>
  </si>
  <si>
    <t>Objeto/Finalidade</t>
  </si>
  <si>
    <t>Encerramento da parceria</t>
  </si>
  <si>
    <r>
      <t> </t>
    </r>
    <r>
      <rPr>
        <b/>
        <sz val="16"/>
        <color rgb="FF000000"/>
        <rFont val="Calibri"/>
        <family val="2"/>
      </rPr>
      <t>DIDCI</t>
    </r>
  </si>
  <si>
    <r>
      <t> </t>
    </r>
    <r>
      <rPr>
        <b/>
        <sz val="16"/>
        <color rgb="FF000000"/>
        <rFont val="Calibri"/>
        <family val="2"/>
      </rPr>
      <t>SUPCDT</t>
    </r>
  </si>
  <si>
    <r>
      <t> </t>
    </r>
    <r>
      <rPr>
        <b/>
        <sz val="16"/>
        <color rgb="FF000000"/>
        <rFont val="Calibri"/>
        <family val="2"/>
      </rPr>
      <t>DIEC</t>
    </r>
  </si>
  <si>
    <r>
      <t xml:space="preserve">primeiro edital voltado à pesquisa da SECTI-DF
</t>
    </r>
    <r>
      <rPr>
        <b/>
        <sz val="16"/>
        <color rgb="FF000000"/>
        <rFont val="Calibri"/>
        <family val="2"/>
      </rPr>
      <t>- Programa de Trabalho 19.571.6207.6026.0012 - EXECUÇÃO DE ATIVIDADES DE FOMENTO AO DESENVOLVIMENTO CIENTÍFICO, TECNOLÓGICO E DE INOVAÇÃO</t>
    </r>
  </si>
  <si>
    <r>
      <t xml:space="preserve">INSTRUÇÃO Nº 62 DE 23 DE NOVEMBRO DE 2023
</t>
    </r>
    <r>
      <rPr>
        <b/>
        <sz val="16"/>
        <color rgb="FF000000"/>
        <rFont val="Calibri"/>
        <family val="2"/>
      </rPr>
      <t>Ana Paula Almeida Aragão, matrícula nº 1700483-7 (FAPDF)</t>
    </r>
    <r>
      <rPr>
        <sz val="16"/>
        <color rgb="FF000000"/>
        <rFont val="Calibri"/>
        <family val="2"/>
      </rPr>
      <t xml:space="preserve">
</t>
    </r>
    <r>
      <rPr>
        <b/>
        <sz val="16"/>
        <color rgb="FF000000"/>
        <rFont val="Calibri"/>
        <family val="2"/>
      </rPr>
      <t>Larissa Jesus de Souza, matrícula nº 1694038-5 (FAPDF)</t>
    </r>
    <r>
      <rPr>
        <sz val="16"/>
        <color rgb="FF000000"/>
        <rFont val="Calibri"/>
        <family val="2"/>
      </rPr>
      <t xml:space="preserve">
Bruno Mariano Souza Lopes Frota, matrícula nº 0283539-8 (SECTI)</t>
    </r>
  </si>
  <si>
    <r>
      <t xml:space="preserve">HEISENBERG, </t>
    </r>
    <r>
      <rPr>
        <b/>
        <sz val="16"/>
        <color rgb="FF000000"/>
        <rFont val="Calibri"/>
        <family val="2"/>
      </rPr>
      <t>(61) 99977-3320 (61) 98581-7196</t>
    </r>
  </si>
  <si>
    <t>Chamamento público de Organização da Sociedade Civil para, em parceria com o Distrito Federal, por meio da Secretaria de Estado de Ciência, Tecnologia e Inovação do Distrito Federal (SECTI) e a Fundação de Apoio à Pesquisa (FAPDF) dar continuidade à implantação, execução e aprimoramento do sistema de logística reversa e economia circular de equipamentos eletrônicos do Distrito Federal, com a implantação de um polo de economia circular (PEC) em 5 macrorregiões, além da formação de jovens e adultos em tecnologia da informação no período de 18 (dezoito) meses, prorrogáveis por igual período. </t>
  </si>
  <si>
    <t>  Nova Reciclotech</t>
  </si>
  <si>
    <t>NOVA RECICLOTECH</t>
  </si>
  <si>
    <t>Associação de Educação, Esporte, Cultura e Economia Criativa - AECEC</t>
  </si>
  <si>
    <t>Gustavo Augusto Moura de Sá - Presidente                    (61) 98164-5096</t>
  </si>
  <si>
    <t>Thaís Fernandes (mat 0283826-5);                                                                                        Bruno Frota (mat 0283539-8);                                                                                                    Gilberto Haraguchi (mat 0282806-5);                                                                                                   Henrique Filho (mat 1697839-0);                                                                                       Samuel Teles (mat 0282816-2);                                                                                                     Daniel Amorim (mat 0283993-8).</t>
  </si>
  <si>
    <t>PROGRAMA DE CAPACITAÇÃO PARA INOVAÇÃO DO DF</t>
  </si>
  <si>
    <t>Programação de lançamento para dia 30 de Janeiro às 10h no Planetário.</t>
  </si>
  <si>
    <t>Fase de lançamento</t>
  </si>
  <si>
    <t>SICID/DICID</t>
  </si>
  <si>
    <t>Termo de Fomento 06/2023</t>
  </si>
  <si>
    <t>Emenda Parlamentar Eduardo Pedrosa</t>
  </si>
  <si>
    <t xml:space="preserve">PROJETO E-GAMES </t>
  </si>
  <si>
    <t>Realizar o “Brasília E-Games Experience", festival que reúne games, robótica, inovação, tecnologia e pesquisa
científica na área digital, com a participação de palestrantes locais e nacionais que tenham conhecimento sobre as
temáticas citadas, com destaque para robótica e games.</t>
  </si>
  <si>
    <t>SICID / DIJE</t>
  </si>
  <si>
    <t>Termo de Fomento 02/2023</t>
  </si>
  <si>
    <t>Realização do projeto “Capacitech”, sendo um projeto voltado para fomentar a tecnologia e a inovação, por meio da disponibilização gratuita de curso e workshops voltados para a produção de jogos eletrônicos e audiovisual para alunos da rede pública.</t>
  </si>
  <si>
    <t> SUPCDT / DIDCI</t>
  </si>
  <si>
    <t>Termo de Fomento 7/2023</t>
  </si>
  <si>
    <t xml:space="preserve"> Dezembro/23
</t>
  </si>
  <si>
    <t>Realização da “Expo Impacto”, evento de imersão que visa integrar a comunidade, o ecossistema de inovação, ciência e sustentabilidade e empreendedores com impacto social, para compartilhar seus conhecimentos sobre ampliação de possibilidades de carreiras em negócios, assim como debater sobre temas relacionados a GovTec e os impactos positivos que isto pode gerar para o setor público.</t>
  </si>
  <si>
    <t>Termo de Fomento 11/2023</t>
  </si>
  <si>
    <t>Fonte 100 EPI</t>
  </si>
  <si>
    <t>Altamiro Pereira Faleiro Júnior                                                                      Grazielle Dutra Machado                               Valdir Cardoso dos Santos</t>
  </si>
  <si>
    <t>Em fase de prestação de contas</t>
  </si>
  <si>
    <t xml:space="preserve"> Dezembro /23
</t>
  </si>
  <si>
    <t>Termo de Fomento 10/2023</t>
  </si>
  <si>
    <t>Emenda parlamentar Joaquim Roriz Neto</t>
  </si>
  <si>
    <t>Kamila Nascimento Rangel                                                                      Grazielle Dutra Machado                               Francielly Figueiredo Osório                                                                       Samuel Campos dos S. R. Teles</t>
  </si>
  <si>
    <t>20/11/23  a  21/04 /24.                                                                                                                                                                                                Laçamento: 28/11                                                                                            Evento: 23/11 a 30/04/2023.</t>
  </si>
  <si>
    <t>A Plataforma BXB - BRASÍLIA DESIGN tem como proposta fomentar a economia criativa, o design, a cultura local e a pesquisa, além de desenvolver o mercado e criar experiências urbanas abrangentes para a promoção e comercialização do design brasiliense. Será lançada por meio da realização do evento Brasília Design Week.</t>
  </si>
  <si>
    <t>Termo de Fomento 2/2021</t>
  </si>
  <si>
    <t>Emenda Parlamentar Daniel Donizete</t>
  </si>
  <si>
    <t>Criação de uma central direcionada a gestão de participação do cidadão nas redes sociais e a SWAPP - Social Web Application, integrado com dispositivos móveis, redes sociais e portal do governo, que viabiliza ampla participação do cidadão no processo de desenvolvimento de políticas públicas.</t>
  </si>
  <si>
    <t>CONTRATO ENCERRADO.FOI NOTIFICADO PELA COMISSÃO DE FISCALIZAÇÃO A PRESTAR CONTAS.</t>
  </si>
  <si>
    <t xml:space="preserve"> -</t>
  </si>
  <si>
    <t>Apoio (divulgação pela SECTI)</t>
  </si>
  <si>
    <t>Termo de Fomento 15/2023</t>
  </si>
  <si>
    <t>Emenda Parlamentar Thiago Manzoni</t>
  </si>
  <si>
    <t>“Inclusão E-Sports – 2ª Edição”, sendo um projeto voltado para fomentar a tecnologia e a inovação através dos “E-Sports”, proporcionando um espaço amplo e democrático para que crianças e adolescentes em situação de vulnerabilidade possam vivenciar a experiência esportiva dos jogos eletrônicos</t>
  </si>
  <si>
    <t>Éden Agnel da Silva Albuquerque                                                                      Kíssila Nacif Nicolai                                                         Ana Clara Tavares da Silva</t>
  </si>
  <si>
    <t>Dezembro/2023 a Abril/2024                                                                                                                                                                                             Evento: 27 e 28/janeiro 2024                                                             24 e 25/fevereiro 2024                                                           30 e 31/março 2024</t>
  </si>
  <si>
    <t>Abril de 2024</t>
  </si>
  <si>
    <t>Termo de Fomento 14/2023</t>
  </si>
  <si>
    <t>Eduardo Almeida Castro                                                                      Ian Fontenele Figueiredo                                                             Mirella Camelo Vieira</t>
  </si>
  <si>
    <t xml:space="preserve"> Criação de um Observatório (Portal interativo) dos Pagadores de Impostos.  A ideia central do Projeto é conscientizar a sociedade sobre a importância de pagar os impostos e acompanhar os gastos públicos.</t>
  </si>
  <si>
    <t>Termo de Fomento 08/2023</t>
  </si>
  <si>
    <t>Emenda Parlamentar Pepa</t>
  </si>
  <si>
    <t>Gilberto Keiji Haraguchi,                                                                    Ionio Rodrigues Serralha Neto,                                                                   Jeruza Pereira X. de Oliveira</t>
  </si>
  <si>
    <t xml:space="preserve"> 31/12/2023</t>
  </si>
  <si>
    <t>Feira de Conexão e Tecnologia no Campus do IFB em Planaltina - DF</t>
  </si>
  <si>
    <t>Termo de Fomento 12/2023</t>
  </si>
  <si>
    <t>Apoiar a realização do projeto Salve um Negócio oferecendo acesso a inovação por meio da metodologia de gestão empresarial “fast consult” e desenvolvimento tecnológico por meio de “Consultoria Especializada” para 50 microempreendedores individuais e pequenas empresas (MEIs e MPEs) do Distrito Federal, visando o desenvolvimento e fortalecimento das mesmas.</t>
  </si>
  <si>
    <t xml:space="preserve">Jessica Natasha Ribeiro Haq                                                                      Kamila Nascimento Rangel </t>
  </si>
  <si>
    <t xml:space="preserve"> Lançamento: 19/12/2023</t>
  </si>
  <si>
    <t>Eduardo Almeida Castro,                                                                                 Samara Gomes de Araújo,                                                                                        Thayna Valença Costa</t>
  </si>
  <si>
    <t>Termo de Fomento 18/2023</t>
  </si>
  <si>
    <t>Estimular o ecossistema empreendedor por meio de capacitações para o desenvolvimento de produtos, serviços e processos inovadores, por meio da concessão de fomento (subvenção econômica e bolsa de caráter não reembolsável), apoiando empreendedores de baixa renda e startups em fase de ideação, a partir da transformação de ideias em oportunidades de negócios no Distrito Federal e RIDE</t>
  </si>
  <si>
    <t>Cássia Eduarda Alves Barcelos                                                                     Ian Fontenele Figueiredo                                               Suely Ap. Nunes da Silva Barbosa                                                              Renato Rocha Cardoso da Silva</t>
  </si>
  <si>
    <t>29/12/2023 a 29/08/2024</t>
  </si>
  <si>
    <t>Termo de Fomento 17/2023</t>
  </si>
  <si>
    <t>Emendas Parlamentares Doutora Jane  e Joaquim Roriz Neto</t>
  </si>
  <si>
    <t>Samara Gomes Araújo                                                                     Gilberto Keiji Haraguchi                              Renato rocha Cardoso da Silva</t>
  </si>
  <si>
    <t>O projeto visa a realização de um programa de tv exibido na TV Cultura no intuito de difundir as ações de inovação e tecnologia do Distrito Federal e região, contribuindo com profissionais, estudantes, governo e entusiastas do segmento. Serão realizados 13 episódios de 30” minutos aos sábados.</t>
  </si>
  <si>
    <t>Pré-produção: 21/12/23 a 01/03/2024                                                                              Produção 02/03/2024 a 25/05/2024                                                                                                Pós-produção: 26/05/2024 a 30/06/2024</t>
  </si>
  <si>
    <t>Apoio</t>
  </si>
  <si>
    <t>Emenda Parlamentar Rodrigo Dellmasso</t>
  </si>
  <si>
    <t>RECICLOTECH</t>
  </si>
  <si>
    <t>GEEKVERSE FESTIVAL</t>
  </si>
  <si>
    <t>INOVATECH</t>
  </si>
  <si>
    <t>WI-FI SOCIAL</t>
  </si>
  <si>
    <t>TERMO DE COLABORAÇÃO 01/2023 - SECTI e Associação de Educação, Esporte, Cultura e Economia Criativa - AECEC. CHAMAMENTO PÚBLICO N° 1/2023</t>
  </si>
  <si>
    <t>TERMO DE COLABORAÇÃO 01/2023</t>
  </si>
  <si>
    <t>04008-00001526/2023-74</t>
  </si>
  <si>
    <t>Termo de Colaboração 02/2023</t>
  </si>
  <si>
    <t>TERMO DE COLABORAÇÃO 02/2023 - SECTI e Instituto Líderes do Brasil. CHAMAMENTO PÚBLICO N° 03/2023</t>
  </si>
  <si>
    <t>GAMIFICA DF</t>
  </si>
  <si>
    <t>INSTITUTO LÍDERES DO BRASIL</t>
  </si>
  <si>
    <t>JOFFRE MOREIRA (61) 9 9595-9459</t>
  </si>
  <si>
    <t>“GAMIFICA DF”, voltado a fomentar a capacitação de jovens, adolescentes e adultosnas áreas de base tecnológica do nicho de games, contando com curso de Marketing aplicado à Jogos Eletrônicos, Design de Jogos Eletrônicos e Desenvolvimento de Jogos Eletrônicos, a ser realizado em 5  (cinco) regiões administrativas, quais sejam: Plano Piloto, Recanto das Emas, Varjão, Águas Claras e Sol Nascente.</t>
  </si>
  <si>
    <t>Leandro Batista Reis                                                                                     Samara Gomes de Araújo                                                                     Talinne Rangelli Campos Silva                                                                                                        Nelson rodrigues da Cruz                                                                                          Larissa Laine Hipólito Alves</t>
  </si>
  <si>
    <t>Análise de Documentação</t>
  </si>
  <si>
    <t>Janeiro/2024 a Dezembro/2024</t>
  </si>
  <si>
    <t>PROGRAMA CONECTA DF</t>
  </si>
  <si>
    <t>04008-00000875/2023-79</t>
  </si>
  <si>
    <t>Termo de Fomento 03/2023</t>
  </si>
  <si>
    <t>Emendas Parlamentares Eduardo Pedrosa e Joaquim Roriz Neto</t>
  </si>
  <si>
    <t>PROJETO ECO INOVA BRASÍLIA</t>
  </si>
  <si>
    <t>ASSOCIAÇÃO CRESCE DF</t>
  </si>
  <si>
    <t xml:space="preserve">EDUARDO CAMPOS </t>
  </si>
  <si>
    <t>Realização do “Eco Inova Brasília”, evento de imersão voltado para as start-ups e os ecossistemas de inovação e sustentabilidade, com foco também para as novas formas de produção de energia, com entrada gratuita e realização no Eixo Cultural Ibero-americano.</t>
  </si>
  <si>
    <t>Kamila Nascimento  Rangel                                                                   Samuel Campos dos S. R. Teles                                                                                      Victor Lucas Batista Tavares</t>
  </si>
  <si>
    <t>Fase de prestação de contas</t>
  </si>
  <si>
    <t>18/19 e 20/08/2023</t>
  </si>
  <si>
    <t>Outubro de 2023</t>
  </si>
  <si>
    <t>Dezembro de 2024</t>
  </si>
  <si>
    <t>Termo de Fomento 04/2023</t>
  </si>
  <si>
    <t xml:space="preserve">Emenda Parlamentare Eduardo Pedrosa </t>
  </si>
  <si>
    <t>IGXP</t>
  </si>
  <si>
    <t>JOFFRE MOREIRA (61)9 9595-9459</t>
  </si>
  <si>
    <t>Leandro Batista Reis                                                                   Samara Gomes de Araújo,                            Thayna Valença Costa</t>
  </si>
  <si>
    <t>Fase de Prestação de Contas</t>
  </si>
  <si>
    <t>26/09/2023 a 31/10/2023</t>
  </si>
  <si>
    <t xml:space="preserve"> Com objetivo de fomentar a tecnologia e a inovação, promovendo o mercado de jogos eletrônicos por meio de um festival de games, com participação direta do público com concursos e competição, trazendo a era digital para o Distrito Federal</t>
  </si>
  <si>
    <t>04008-00001421/2023-15</t>
  </si>
  <si>
    <t>04008-000001109/2023-21</t>
  </si>
  <si>
    <t>Termo de Fomento 16/2023</t>
  </si>
  <si>
    <t>Emendas Parlamentares Thiago Manzoni e Paula Belmonte</t>
  </si>
  <si>
    <t>START UP BRASÍLIA 2030</t>
  </si>
  <si>
    <t>BRASIL STARTUP</t>
  </si>
  <si>
    <t>Gabriella de Oliveira Tavares                                                                     Mirella Camelo Vieira                               Altamiro Pereira Faleiro Júnior</t>
  </si>
  <si>
    <t>Outubro de 2024</t>
  </si>
  <si>
    <t>HUGO GIALLANZA                                                                            (61) 98275-2274</t>
  </si>
  <si>
    <t>23/12/2023 a 23/10/2024</t>
  </si>
  <si>
    <t xml:space="preserve">Aquecer o ecossistema de tecnologia e inovação do DF e RIDE, por meio da implantação de ações de estímulo à inovação aberta, promovendo novas, melhores e mais frequentes conexões entre atores-chave
do ecossistema, sensibilizando-os quanto aos desafios e oportunidades de inovação nos segmentos da saúde, finanças, educação, mulheres e populações vulneráveis, e governo (drivers de inovação).
</t>
  </si>
  <si>
    <t>04008-00001619/2023-07</t>
  </si>
  <si>
    <t>Termo de Fomento 19/2023</t>
  </si>
  <si>
    <t>Emendas Parlamentares Jaqueline Silva e Daniel Donizet                                                                               PORTARIA CONJUNTA 22 e                                                           PORTARIA CONJUNTA 23</t>
  </si>
  <si>
    <t>INNOVA HUB</t>
  </si>
  <si>
    <t>Espaço de inovação para startups e empreendedores do segmento de tecnologia que
terão acesso gratuito para se capacitar e interagir com o ecossistema de inovação, por meio de palestras,
apresentações, consultorias, e muito networking.</t>
  </si>
  <si>
    <t>SICID</t>
  </si>
  <si>
    <t>EDUARDO MOREIRA (61) 9 9143-08</t>
  </si>
  <si>
    <t>Nelson Rodrigues da Cruz                                                                     Bruna Petrnylla Gomes de Sousa                                              Cássia Fonseca Campos Antunes                                                              Eduardo Almeida Castro</t>
  </si>
  <si>
    <t>03/01/2024 a 05/08/2024</t>
  </si>
  <si>
    <t>Agosto de 2024</t>
  </si>
  <si>
    <t xml:space="preserve">Processos vinculados:                                                                              00001-00055043/2023-07                                                                     00001-00055088/2023-73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</si>
</sst>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R$&quot;\ #,##0.00;[Red]\-&quot;R$&quot;\ #,##0.00"/>
    <numFmt numFmtId="164" formatCode="&quot;R$&quot;\ #,##0.00"/>
  </numFmts>
  <fonts count="14" x14ac:knownFonts="1">
    <font>
      <sz val="11"/>
      <color theme="1"/>
      <name val="Calibri"/>
      <family val="2"/>
      <scheme val="minor"/>
    </font>
    <font>
      <u/>
      <sz val="11"/>
      <color theme="10"/>
      <name val="Calibri"/>
      <family val="2"/>
      <scheme val="minor"/>
    </font>
    <font>
      <b/>
      <sz val="18"/>
      <color rgb="FF000000"/>
      <name val="Calibri"/>
      <family val="2"/>
    </font>
    <font>
      <sz val="14"/>
      <color theme="1"/>
      <name val="Calibri"/>
      <family val="2"/>
      <scheme val="minor"/>
    </font>
    <font>
      <b/>
      <sz val="14"/>
      <color theme="1"/>
      <name val="Calibri"/>
      <family val="2"/>
      <scheme val="minor"/>
    </font>
    <font>
      <b/>
      <sz val="22"/>
      <color rgb="FF000000"/>
      <name val="Calibri"/>
      <family val="2"/>
    </font>
    <font>
      <b/>
      <sz val="16"/>
      <color rgb="FF000000"/>
      <name val="Calibri"/>
      <family val="2"/>
    </font>
    <font>
      <sz val="16"/>
      <color rgb="FF000000"/>
      <name val="Calibri"/>
      <family val="2"/>
    </font>
    <font>
      <u/>
      <sz val="16"/>
      <color theme="10"/>
      <name val="Calibri"/>
      <family val="2"/>
      <scheme val="minor"/>
    </font>
    <font>
      <sz val="16"/>
      <color rgb="FF000000"/>
      <name val="Times New Roman"/>
      <family val="1"/>
    </font>
    <font>
      <b/>
      <sz val="16"/>
      <color rgb="FF000000"/>
      <name val="Times New Roman"/>
      <family val="1"/>
    </font>
    <font>
      <b/>
      <sz val="16"/>
      <color theme="1"/>
      <name val="Calibri"/>
      <family val="2"/>
      <scheme val="minor"/>
    </font>
    <font>
      <sz val="16"/>
      <color theme="1"/>
      <name val="Calibri"/>
      <family val="2"/>
      <scheme val="minor"/>
    </font>
    <font>
      <sz val="16"/>
      <color rgb="FF000000"/>
      <name val="Calibri"/>
      <family val="2"/>
      <scheme val="minor"/>
    </font>
  </fonts>
  <fills count="3">
    <fill>
      <patternFill patternType="none"/>
    </fill>
    <fill>
      <patternFill patternType="gray125"/>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17" fontId="7" fillId="0" borderId="1" xfId="0" applyNumberFormat="1" applyFont="1" applyBorder="1" applyAlignment="1" applyProtection="1">
      <alignment horizontal="center" vertical="center" wrapText="1"/>
    </xf>
    <xf numFmtId="0" fontId="5" fillId="2" borderId="3" xfId="0" applyFont="1" applyFill="1" applyBorder="1" applyAlignment="1" applyProtection="1">
      <alignment horizontal="center" wrapText="1"/>
      <protection locked="0"/>
    </xf>
    <xf numFmtId="0" fontId="2" fillId="2" borderId="4" xfId="0" applyFont="1" applyFill="1" applyBorder="1" applyAlignment="1" applyProtection="1">
      <alignment horizontal="center" vertical="center" wrapText="1"/>
      <protection locked="0"/>
    </xf>
    <xf numFmtId="164" fontId="2" fillId="2" borderId="4" xfId="0" applyNumberFormat="1" applyFont="1" applyFill="1" applyBorder="1" applyAlignment="1" applyProtection="1">
      <alignment horizontal="center" vertical="center" wrapText="1"/>
      <protection locked="0"/>
    </xf>
    <xf numFmtId="14" fontId="2" fillId="2" borderId="4" xfId="0" applyNumberFormat="1" applyFont="1" applyFill="1" applyBorder="1" applyAlignment="1" applyProtection="1">
      <alignment horizontal="center" vertical="center" wrapText="1"/>
      <protection locked="0"/>
    </xf>
    <xf numFmtId="0" fontId="3" fillId="2" borderId="4" xfId="0" applyFont="1" applyFill="1" applyBorder="1" applyAlignment="1" applyProtection="1">
      <alignment horizontal="center"/>
      <protection locked="0"/>
    </xf>
    <xf numFmtId="0" fontId="7" fillId="0" borderId="2"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8" fontId="6" fillId="0" borderId="1" xfId="0" applyNumberFormat="1" applyFont="1" applyBorder="1" applyAlignment="1" applyProtection="1">
      <alignment horizontal="center" vertical="center" wrapText="1"/>
      <protection locked="0"/>
    </xf>
    <xf numFmtId="14" fontId="7"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protection locked="0"/>
    </xf>
    <xf numFmtId="0" fontId="8" fillId="0" borderId="2" xfId="1" applyFont="1" applyBorder="1" applyAlignment="1" applyProtection="1">
      <alignment horizontal="center" vertical="center" wrapText="1"/>
      <protection locked="0"/>
    </xf>
    <xf numFmtId="164" fontId="6" fillId="0" borderId="1" xfId="0" applyNumberFormat="1"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0" fontId="9" fillId="0" borderId="1" xfId="0" applyFont="1" applyBorder="1" applyAlignment="1" applyProtection="1">
      <alignment horizontal="center" vertical="center" wrapText="1"/>
      <protection locked="0"/>
    </xf>
    <xf numFmtId="4" fontId="10" fillId="0" borderId="1" xfId="0" applyNumberFormat="1" applyFont="1" applyBorder="1" applyAlignment="1" applyProtection="1">
      <alignment horizontal="center" vertical="center" wrapText="1"/>
      <protection locked="0"/>
    </xf>
    <xf numFmtId="164" fontId="11" fillId="0" borderId="1" xfId="0" applyNumberFormat="1" applyFont="1" applyBorder="1" applyAlignment="1" applyProtection="1">
      <alignment horizontal="center" vertical="center"/>
      <protection locked="0"/>
    </xf>
    <xf numFmtId="0" fontId="8" fillId="0" borderId="1" xfId="1" applyFont="1" applyBorder="1" applyAlignment="1" applyProtection="1">
      <alignment horizontal="center" vertical="center" wrapText="1"/>
      <protection locked="0"/>
    </xf>
    <xf numFmtId="164" fontId="7" fillId="0" borderId="1"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center" wrapText="1"/>
      <protection locked="0"/>
    </xf>
    <xf numFmtId="0" fontId="12" fillId="0" borderId="1" xfId="0" applyFont="1" applyBorder="1" applyAlignment="1" applyProtection="1">
      <alignment horizontal="center" vertical="center"/>
      <protection locked="0"/>
    </xf>
    <xf numFmtId="0" fontId="13"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14" fontId="3" fillId="0" borderId="5" xfId="0" applyNumberFormat="1" applyFont="1" applyBorder="1" applyAlignment="1" applyProtection="1">
      <alignment horizontal="center" vertical="center"/>
      <protection locked="0"/>
    </xf>
    <xf numFmtId="0" fontId="3" fillId="0" borderId="5" xfId="0" applyFont="1" applyBorder="1" applyAlignment="1" applyProtection="1">
      <alignment horizontal="center"/>
      <protection locked="0"/>
    </xf>
    <xf numFmtId="164" fontId="4" fillId="0" borderId="5" xfId="0" applyNumberFormat="1" applyFont="1" applyBorder="1" applyAlignment="1" applyProtection="1">
      <alignment horizontal="center" vertical="center"/>
      <protection locked="0"/>
    </xf>
    <xf numFmtId="0" fontId="3" fillId="0" borderId="2" xfId="0" applyFont="1" applyBorder="1" applyAlignment="1" applyProtection="1">
      <alignment horizontal="center"/>
      <protection locked="0"/>
    </xf>
    <xf numFmtId="164" fontId="4" fillId="0" borderId="1" xfId="0" applyNumberFormat="1" applyFont="1" applyBorder="1" applyAlignment="1" applyProtection="1">
      <alignment horizontal="center" vertical="center"/>
      <protection locked="0"/>
    </xf>
    <xf numFmtId="14" fontId="3" fillId="0" borderId="1" xfId="0" applyNumberFormat="1" applyFont="1" applyBorder="1" applyAlignment="1" applyProtection="1">
      <alignment horizontal="center"/>
      <protection locked="0"/>
    </xf>
    <xf numFmtId="0" fontId="2" fillId="2" borderId="4" xfId="0" applyFont="1" applyFill="1" applyBorder="1" applyAlignment="1" applyProtection="1">
      <alignment horizontal="center" vertical="center" wrapText="1"/>
    </xf>
    <xf numFmtId="0" fontId="3" fillId="0" borderId="1" xfId="0" applyFont="1" applyBorder="1" applyAlignment="1" applyProtection="1">
      <alignment horizontal="center"/>
    </xf>
  </cellXfs>
  <cellStyles count="2">
    <cellStyle name="Hyperlink" xfId="1" builtinId="8"/>
    <cellStyle name="Normal" xfId="0" builtinId="0"/>
  </cellStyles>
  <dxfs count="39">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vertAlign val="baseline"/>
        <sz val="14"/>
      </font>
      <alignment horizontal="center" vertical="bottom" textRotation="0" wrapText="0" indent="0" justifyLastLine="0" shrinkToFit="0" readingOrder="0"/>
      <protection locked="0" hidden="0"/>
    </dxf>
    <dxf>
      <protection locked="0" hidden="0"/>
    </dxf>
    <dxf>
      <font>
        <b val="0"/>
        <i val="0"/>
        <strike val="0"/>
        <condense val="0"/>
        <extend val="0"/>
        <outline val="0"/>
        <shadow val="0"/>
        <u val="none"/>
        <vertAlign val="baseline"/>
        <sz val="14"/>
        <color theme="1"/>
        <name val="Calibri"/>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numFmt numFmtId="19" formatCode="d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4"/>
        <color theme="1"/>
        <name val="Calibri"/>
        <scheme val="minor"/>
      </font>
      <numFmt numFmtId="164" formatCode="&quot;R$&quot;\ #,##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4"/>
        <color theme="1"/>
        <name val="Calibri"/>
        <scheme val="minor"/>
      </font>
      <numFmt numFmtId="164" formatCode="&quot;R$&quot;\ #,##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vertAlign val="baseline"/>
        <sz val="14"/>
      </font>
      <alignment horizontal="center" vertical="bottom" textRotation="0" wrapText="0" indent="0" justifyLastLine="0" shrinkToFit="0" readingOrder="0"/>
      <border diagonalUp="0" diagonalDown="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34637</xdr:rowOff>
    </xdr:from>
    <xdr:to>
      <xdr:col>0</xdr:col>
      <xdr:colOff>2770908</xdr:colOff>
      <xdr:row>0</xdr:row>
      <xdr:rowOff>865909</xdr:rowOff>
    </xdr:to>
    <xdr:sp macro="[0]!OpenDataEntryForm" textlink="">
      <xdr:nvSpPr>
        <xdr:cNvPr id="2" name="Rectangle: Rounded Corners 1">
          <a:extLst>
            <a:ext uri="{FF2B5EF4-FFF2-40B4-BE49-F238E27FC236}">
              <a16:creationId xmlns:a16="http://schemas.microsoft.com/office/drawing/2014/main" id="{8CD2F841-34A3-4C6D-AD02-ADF72C455E31}"/>
            </a:ext>
          </a:extLst>
        </xdr:cNvPr>
        <xdr:cNvSpPr/>
      </xdr:nvSpPr>
      <xdr:spPr>
        <a:xfrm>
          <a:off x="0" y="34637"/>
          <a:ext cx="2770908" cy="83127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ABRI</a:t>
          </a:r>
          <a:r>
            <a:rPr lang="pt-BR" sz="2000" baseline="0"/>
            <a:t>R FORMULARIO</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Projetos" displayName="Projetos" ref="A1:P30" headerRowDxfId="3" dataDxfId="1" totalsRowDxfId="2" headerRowBorderDxfId="37" tableBorderDxfId="36" totalsRowBorderDxfId="35">
  <autoFilter ref="A1:P30" xr:uid="{00000000-0009-0000-0100-000002000000}"/>
  <tableColumns count="16">
    <tableColumn id="1" xr3:uid="{00000000-0010-0000-0000-000001000000}" name="Processo SEI" totalsRowLabel="Total" dataDxfId="18" totalsRowDxfId="34"/>
    <tableColumn id="2" xr3:uid="{00000000-0010-0000-0000-000002000000}" name="Fomento" dataDxfId="17" totalsRowDxfId="33"/>
    <tableColumn id="3" xr3:uid="{00000000-0010-0000-0000-000003000000}" name="Mais informações do fomento" dataDxfId="16" totalsRowDxfId="32"/>
    <tableColumn id="4" xr3:uid="{00000000-0010-0000-0000-000004000000}" name="Fonte de Custeio" dataDxfId="15" totalsRowDxfId="31"/>
    <tableColumn id="5" xr3:uid="{00000000-0010-0000-0000-000005000000}" name="Valor" dataDxfId="14" totalsRowDxfId="30"/>
    <tableColumn id="6" xr3:uid="{00000000-0010-0000-0000-000006000000}" name="Projeto" dataDxfId="13" totalsRowDxfId="29"/>
    <tableColumn id="7" xr3:uid="{00000000-0010-0000-0000-000007000000}" name="Objeto/Finalidade" dataDxfId="12" totalsRowDxfId="28"/>
    <tableColumn id="8" xr3:uid="{00000000-0010-0000-0000-000008000000}" name="Unidade SECTI Responsável" dataDxfId="11" totalsRowDxfId="27"/>
    <tableColumn id="9" xr3:uid="{00000000-0010-0000-0000-000009000000}" name="Instituição Parceira" dataDxfId="10" totalsRowDxfId="26"/>
    <tableColumn id="10" xr3:uid="{00000000-0010-0000-0000-00000A000000}" name="Ponto Focal na Instituição Parceira" dataDxfId="9" totalsRowDxfId="25"/>
    <tableColumn id="11" xr3:uid="{00000000-0010-0000-0000-00000B000000}" name="Comissão Gestora da Parceria" dataDxfId="8" totalsRowDxfId="24"/>
    <tableColumn id="12" xr3:uid="{00000000-0010-0000-0000-00000C000000}" name="Situação atual" dataDxfId="7" totalsRowDxfId="23"/>
    <tableColumn id="13" xr3:uid="{00000000-0010-0000-0000-00000D000000}" name="Execução do Projeto" dataDxfId="6" totalsRowDxfId="22"/>
    <tableColumn id="14" xr3:uid="{00000000-0010-0000-0000-00000E000000}" name="Encerramento da parceria" dataDxfId="5" totalsRowDxfId="21"/>
    <tableColumn id="15" xr3:uid="{00000000-0010-0000-0000-00000F000000}" name="Search index" dataDxfId="0" totalsRowDxfId="20"/>
    <tableColumn id="16" xr3:uid="{00000000-0010-0000-0000-000010000000}" name="Observações" totalsRowFunction="count" dataDxfId="4" totalsRowDxfId="19"/>
  </tableColumns>
  <tableStyleInfo name="TableStyleLight16"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i.df.gov.br/sei/controlador.php?acao=protocolo_visualizar&amp;id_protocolo=132310667&amp;id_procedimento_atual=142638856&amp;infra_sistema=100000100&amp;infra_unidade_atual=110038152&amp;infra_hash=d98ab668fd2ef0773e23d3976f39e0abd4073e130a047fc560701c77d74e2028" TargetMode="External"/><Relationship Id="rId13" Type="http://schemas.openxmlformats.org/officeDocument/2006/relationships/hyperlink" Target="https://sei.df.gov.br/sei/controlador.php?acao=protocolo_visualizar&amp;id_protocolo=130696089&amp;id_procedimento_atual=142638856&amp;infra_sistema=100000100&amp;infra_unidade_atual=110038152&amp;infra_hash=00e1904d8d971f922b298b609621b0878f332249fe0a6f0750a690043fd18eea" TargetMode="External"/><Relationship Id="rId18" Type="http://schemas.openxmlformats.org/officeDocument/2006/relationships/hyperlink" Target="https://sei.df.gov.br/sei/controlador.php?acao=protocolo_visualizar&amp;id_protocolo=140541964&amp;id_procedimento_atual=142638856&amp;infra_sistema=100000100&amp;infra_unidade_atual=110038152&amp;infra_hash=8c3d273a92b1d8b5ea6a295df8138154f8a27931b93144ff796afd7a7c86ec4e" TargetMode="External"/><Relationship Id="rId3" Type="http://schemas.openxmlformats.org/officeDocument/2006/relationships/hyperlink" Target="https://sei.df.gov.br/sei/controlador.php?acao=protocolo_visualizar&amp;id_protocolo=134096258&amp;id_procedimento_atual=142638856&amp;infra_sistema=100000100&amp;infra_unidade_atual=110038152&amp;infra_hash=99d911aba52659b3f96e7e8306eb960a6e8524fc63ead419dab325a00f5b29f4" TargetMode="External"/><Relationship Id="rId21" Type="http://schemas.openxmlformats.org/officeDocument/2006/relationships/hyperlink" Target="https://sei.df.gov.br/sei/controlador.php?acao=protocolo_visualizar&amp;id_protocolo=130955893&amp;id_procedimento_atual=142638856&amp;infra_sistema=100000100&amp;infra_unidade_atual=110038152&amp;infra_hash=848b72e95c1166e6f93ac5c177b1e0825afa79ffc643329f5cc649664a3c4a41" TargetMode="External"/><Relationship Id="rId7" Type="http://schemas.openxmlformats.org/officeDocument/2006/relationships/hyperlink" Target="https://sei.df.gov.br/sei/controlador.php?acao=protocolo_visualizar&amp;id_protocolo=118170348&amp;id_procedimento_atual=142638856&amp;infra_sistema=100000100&amp;infra_unidade_atual=110038152&amp;infra_hash=347b20c06be1c4804f71e6a597660e41e39331266efccae5ca088591fb91a6bb" TargetMode="External"/><Relationship Id="rId12" Type="http://schemas.openxmlformats.org/officeDocument/2006/relationships/hyperlink" Target="https://sei.df.gov.br/sei/controlador.php?acao=protocolo_visualizar&amp;id_protocolo=130818110&amp;id_procedimento_atual=142638856&amp;infra_sistema=100000100&amp;infra_unidade_atual=110038152&amp;infra_hash=d1ed92b1c489c87e725dc8914b39967b2e100086e26d7ff2e2a1dd573f034424" TargetMode="External"/><Relationship Id="rId17" Type="http://schemas.openxmlformats.org/officeDocument/2006/relationships/hyperlink" Target="https://sei.df.gov.br/sei/controlador.php?acao=protocolo_visualizar&amp;id_protocolo=141565405&amp;id_procedimento_atual=142638856&amp;infra_sistema=100000100&amp;infra_unidade_atual=110038152&amp;infra_hash=f52b4642c3e23b43d51010427b708966431b47bfbfbba42da4f12eec777e80fb" TargetMode="External"/><Relationship Id="rId25" Type="http://schemas.openxmlformats.org/officeDocument/2006/relationships/table" Target="../tables/table1.xml"/><Relationship Id="rId2" Type="http://schemas.openxmlformats.org/officeDocument/2006/relationships/hyperlink" Target="https://sei.df.gov.br/sei/controlador.php?acao=protocolo_visualizar&amp;id_protocolo=132316035&amp;id_procedimento_atual=142638856&amp;infra_sistema=100000100&amp;infra_unidade_atual=110038152&amp;infra_hash=e0b44b351cfaa05cc5f528cd76d0f18efe7050c8edefe7ee13665cff58ccd412" TargetMode="External"/><Relationship Id="rId16" Type="http://schemas.openxmlformats.org/officeDocument/2006/relationships/hyperlink" Target="https://sei.df.gov.br/sei/controlador.php?acao=protocolo_visualizar&amp;id_protocolo=141552768&amp;id_procedimento_atual=142638856&amp;infra_sistema=100000100&amp;infra_unidade_atual=110038152&amp;infra_hash=37e02d4c4898536a4e50b7b4611368c7f8e21d36ef1c07d920de883660dc9995" TargetMode="External"/><Relationship Id="rId20" Type="http://schemas.openxmlformats.org/officeDocument/2006/relationships/hyperlink" Target="https://sei.df.gov.br/sei/controlador.php?acao=protocolo_visualizar&amp;id_protocolo=140543082&amp;id_procedimento_atual=142638856&amp;infra_sistema=100000100&amp;infra_unidade_atual=110038152&amp;infra_hash=e6ccb1f0f83ac3dcdc8216b6db0d21f942ae7f32a39c1acd02d6b5f7d2f4f1ee" TargetMode="External"/><Relationship Id="rId1" Type="http://schemas.openxmlformats.org/officeDocument/2006/relationships/hyperlink" Target="https://sei.df.gov.br/sei/controlador.php?acao=protocolo_visualizar&amp;id_protocolo=130390873&amp;id_procedimento_atual=142638856&amp;infra_sistema=100000100&amp;infra_unidade_atual=110038152&amp;infra_hash=89d29201f13c7c76399c4c3bd9e913a7963b6b11911ddf815ae4cfc15ef31f34" TargetMode="External"/><Relationship Id="rId6" Type="http://schemas.openxmlformats.org/officeDocument/2006/relationships/hyperlink" Target="https://sei.df.gov.br/sei/controlador.php?acao=protocolo_visualizar&amp;id_protocolo=130390873&amp;id_procedimento_atual=142638856&amp;infra_sistema=100000100&amp;infra_unidade_atual=110038152&amp;infra_hash=89d29201f13c7c76399c4c3bd9e913a7963b6b11911ddf815ae4cfc15ef31f34" TargetMode="External"/><Relationship Id="rId11" Type="http://schemas.openxmlformats.org/officeDocument/2006/relationships/hyperlink" Target="https://sei.df.gov.br/sei/controlador.php?acao=protocolo_visualizar&amp;id_protocolo=127824225&amp;id_procedimento_atual=142638856&amp;infra_sistema=100000100&amp;infra_unidade_atual=110038152&amp;infra_hash=6c5e65473d1cc4bbbf82d92f87ffe8649b592b13f19d64352b684544c2a56948" TargetMode="External"/><Relationship Id="rId24" Type="http://schemas.openxmlformats.org/officeDocument/2006/relationships/drawing" Target="../drawings/drawing1.xml"/><Relationship Id="rId5" Type="http://schemas.openxmlformats.org/officeDocument/2006/relationships/hyperlink" Target="https://sei.df.gov.br/sei/controlador.php?acao=protocolo_visualizar&amp;id_protocolo=34936107&amp;id_procedimento_atual=142638856&amp;infra_sistema=100000100&amp;infra_unidade_atual=110038152&amp;infra_hash=69b2b0ed874b3d9d8ed3bbf34951eadee48d09283b70c32b08c8b52ede5e2ed5" TargetMode="External"/><Relationship Id="rId15" Type="http://schemas.openxmlformats.org/officeDocument/2006/relationships/hyperlink" Target="https://sei.df.gov.br/sei/controlador.php?acao=protocolo_visualizar&amp;id_protocolo=141586414&amp;id_procedimento_atual=142638856&amp;infra_sistema=100000100&amp;infra_unidade_atual=110038152&amp;infra_hash=e5a8e9db79c6964cb489ab99dfd926fbab73c834a5097c36f2fd83bb688aa0f6" TargetMode="External"/><Relationship Id="rId23" Type="http://schemas.openxmlformats.org/officeDocument/2006/relationships/printerSettings" Target="../printerSettings/printerSettings1.bin"/><Relationship Id="rId10" Type="http://schemas.openxmlformats.org/officeDocument/2006/relationships/hyperlink" Target="https://sei.df.gov.br/sei/controlador.php?acao=protocolo_visualizar&amp;id_protocolo=138717892&amp;id_procedimento_atual=142638856&amp;infra_sistema=100000100&amp;infra_unidade_atual=110038152&amp;infra_hash=10868835005a4c55e9a3434b849c15ef2eaa4b877098c6dafed45f3ac1981345" TargetMode="External"/><Relationship Id="rId19" Type="http://schemas.openxmlformats.org/officeDocument/2006/relationships/hyperlink" Target="https://sei.df.gov.br/sei/controlador.php?acao=protocolo_visualizar&amp;id_protocolo=140536566&amp;id_procedimento_atual=142638856&amp;infra_sistema=100000100&amp;infra_unidade_atual=110038152&amp;infra_hash=4f2ed80df210ca142642be862342e2b338378ed42d267d17e5c5af782a0be4df" TargetMode="External"/><Relationship Id="rId4" Type="http://schemas.openxmlformats.org/officeDocument/2006/relationships/hyperlink" Target="https://sei.df.gov.br/sei/controlador.php?acao=protocolo_visualizar&amp;id_protocolo=78655147&amp;id_procedimento_atual=142638856&amp;infra_sistema=100000100&amp;infra_unidade_atual=110038152&amp;infra_hash=a2045cec03c0cde42977bd7a8c40b367b39d61d0fb3f7fd44fd92fc51e3d5e8b" TargetMode="External"/><Relationship Id="rId9" Type="http://schemas.openxmlformats.org/officeDocument/2006/relationships/hyperlink" Target="https://sei.df.gov.br/sei/controlador.php?acao=protocolo_visualizar&amp;id_protocolo=91332852&amp;id_procedimento_atual=142638856&amp;infra_sistema=100000100&amp;infra_unidade_atual=110038152&amp;infra_hash=aee6dafbde8061244aca3fdcae4f844cc3193df65053cc62c2be61baf77dd0ce" TargetMode="External"/><Relationship Id="rId14" Type="http://schemas.openxmlformats.org/officeDocument/2006/relationships/hyperlink" Target="https://sei.df.gov.br/sei/controlador.php?acao=protocolo_visualizar&amp;id_protocolo=138715878&amp;id_procedimento_atual=142638856&amp;infra_sistema=100000100&amp;infra_unidade_atual=110038152&amp;infra_hash=1be27fd5041cb14bf41a68371fb7a8e48b008fb4029de3852c697ac47f467101" TargetMode="External"/><Relationship Id="rId22" Type="http://schemas.openxmlformats.org/officeDocument/2006/relationships/hyperlink" Target="https://sei.df.gov.br/sei/controlador.php?acao=protocolo_visualizar&amp;id_protocolo=131465441&amp;id_procedimento_atual=142638856&amp;infra_sistema=100000100&amp;infra_unidade_atual=110038152&amp;infra_hash=ca0c051e5635850fbdc4b8fff991d2dc2fcf9986076a93f575cd8aaec0b9289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0"/>
  <sheetViews>
    <sheetView tabSelected="1" topLeftCell="G1" zoomScale="55" zoomScaleNormal="55" workbookViewId="0">
      <pane ySplit="1" topLeftCell="A2" activePane="bottomLeft" state="frozen"/>
      <selection pane="bottomLeft" activeCell="K4" sqref="K4"/>
    </sheetView>
  </sheetViews>
  <sheetFormatPr defaultColWidth="28.85546875" defaultRowHeight="18.75" x14ac:dyDescent="0.3"/>
  <cols>
    <col min="1" max="1" width="41.7109375" style="29" customWidth="1"/>
    <col min="2" max="2" width="40.28515625" style="11" customWidth="1"/>
    <col min="3" max="3" width="58.5703125" style="11" customWidth="1"/>
    <col min="4" max="4" width="42.140625" style="11" customWidth="1"/>
    <col min="5" max="6" width="42.140625" style="30" customWidth="1"/>
    <col min="7" max="7" width="37.42578125" style="11" customWidth="1"/>
    <col min="8" max="8" width="56.85546875" style="11" customWidth="1"/>
    <col min="9" max="9" width="43.140625" style="11" customWidth="1"/>
    <col min="10" max="10" width="70" style="11" customWidth="1"/>
    <col min="11" max="11" width="60.5703125" style="11" customWidth="1"/>
    <col min="12" max="12" width="31.28515625" style="11" customWidth="1"/>
    <col min="13" max="13" width="42.85546875" style="11" customWidth="1"/>
    <col min="14" max="14" width="52.42578125" style="31" customWidth="1"/>
    <col min="15" max="15" width="28.5703125" style="33" hidden="1" customWidth="1"/>
    <col min="16" max="16" width="35.5703125" style="11" customWidth="1"/>
    <col min="17" max="16384" width="28.85546875" style="11"/>
  </cols>
  <sheetData>
    <row r="1" spans="1:16" s="6" customFormat="1" ht="189" customHeight="1" x14ac:dyDescent="0.45">
      <c r="A1" s="2" t="s">
        <v>0</v>
      </c>
      <c r="B1" s="3" t="s">
        <v>122</v>
      </c>
      <c r="C1" s="3" t="s">
        <v>121</v>
      </c>
      <c r="D1" s="3" t="s">
        <v>1</v>
      </c>
      <c r="E1" s="4" t="s">
        <v>68</v>
      </c>
      <c r="F1" s="4" t="s">
        <v>156</v>
      </c>
      <c r="G1" s="3" t="s">
        <v>157</v>
      </c>
      <c r="H1" s="3" t="s">
        <v>2</v>
      </c>
      <c r="I1" s="3" t="s">
        <v>3</v>
      </c>
      <c r="J1" s="3" t="s">
        <v>4</v>
      </c>
      <c r="K1" s="3" t="s">
        <v>5</v>
      </c>
      <c r="L1" s="3" t="s">
        <v>6</v>
      </c>
      <c r="M1" s="3" t="s">
        <v>7</v>
      </c>
      <c r="N1" s="5" t="s">
        <v>158</v>
      </c>
      <c r="O1" s="32" t="s">
        <v>144</v>
      </c>
      <c r="P1" s="3" t="s">
        <v>8</v>
      </c>
    </row>
    <row r="2" spans="1:16" ht="86.25" customHeight="1" x14ac:dyDescent="0.3">
      <c r="A2" s="7" t="s">
        <v>81</v>
      </c>
      <c r="B2" s="8" t="s">
        <v>82</v>
      </c>
      <c r="C2" s="8" t="s">
        <v>231</v>
      </c>
      <c r="D2" s="8" t="s">
        <v>187</v>
      </c>
      <c r="E2" s="9">
        <v>300000</v>
      </c>
      <c r="F2" s="9" t="s">
        <v>83</v>
      </c>
      <c r="G2" s="8" t="s">
        <v>83</v>
      </c>
      <c r="H2" s="8" t="s">
        <v>159</v>
      </c>
      <c r="I2" s="8" t="s">
        <v>131</v>
      </c>
      <c r="J2" s="8" t="s">
        <v>112</v>
      </c>
      <c r="K2" s="8" t="s">
        <v>79</v>
      </c>
      <c r="L2" s="8" t="s">
        <v>17</v>
      </c>
      <c r="M2" s="8" t="s">
        <v>80</v>
      </c>
      <c r="N2" s="10">
        <v>44896</v>
      </c>
      <c r="O2" s="1" t="str">
        <f>N2&amp;M2&amp;L2&amp;K2&amp;J2&amp;I2&amp;H2&amp;G2&amp;E2&amp;D2&amp;C2&amp;B2&amp;A2&amp;P2</f>
        <v>44896Redação do Parecer Técnico Conclusivo de Análise de Prestação de Contas Final.Em fase de Prestação de ContasPatrícia Moutinho Correia, 277609X;CRISTIANE PEREIRA, (61) 99198-0938CODESE DIDCI“HACKACITY GUARÁ: MUTIRÃO CIDADE INTELIGENTE”300000Fonte 100 EPIEmenda Parlamentar Rodrigo DellmassoRodrigo Dellmasso00001-00016725/2022-13-</v>
      </c>
      <c r="P2" s="8" t="s">
        <v>26</v>
      </c>
    </row>
    <row r="3" spans="1:16" ht="217.5" customHeight="1" x14ac:dyDescent="0.3">
      <c r="A3" s="12" t="s">
        <v>53</v>
      </c>
      <c r="B3" s="8" t="s">
        <v>230</v>
      </c>
      <c r="C3" s="8" t="s">
        <v>54</v>
      </c>
      <c r="D3" s="8" t="s">
        <v>55</v>
      </c>
      <c r="E3" s="13">
        <v>0</v>
      </c>
      <c r="F3" s="14" t="s">
        <v>123</v>
      </c>
      <c r="G3" s="8" t="s">
        <v>56</v>
      </c>
      <c r="H3" s="8" t="s">
        <v>14</v>
      </c>
      <c r="I3" s="8"/>
      <c r="J3" s="8"/>
      <c r="K3" s="8"/>
      <c r="L3" s="8"/>
      <c r="M3" s="8"/>
      <c r="N3" s="10"/>
      <c r="O3" s="1" t="str">
        <f>N3&amp;M3&amp;L3&amp;K3&amp;J3&amp;I3&amp;H3&amp;G3&amp;E3&amp;D3&amp;C3&amp;B3&amp;A3&amp;P3</f>
        <v>DIJEFomentar a educação através da ciência, tecnologia e inovação0não houveApoio ao XII Circuito de Ciências das Escolas Públicas do Distrito Federal, exarado pela Coordenação Regional de Ensino de Sobradinho.Apoio00080-00123677/2023-21Apenas apoio</v>
      </c>
      <c r="P3" s="8" t="s">
        <v>57</v>
      </c>
    </row>
    <row r="4" spans="1:16" ht="409.5" customHeight="1" x14ac:dyDescent="0.3">
      <c r="A4" s="12" t="s">
        <v>96</v>
      </c>
      <c r="B4" s="8"/>
      <c r="C4" s="8" t="s">
        <v>97</v>
      </c>
      <c r="D4" s="15" t="s">
        <v>125</v>
      </c>
      <c r="E4" s="16">
        <v>25000000</v>
      </c>
      <c r="F4" s="14" t="s">
        <v>234</v>
      </c>
      <c r="G4" s="8" t="s">
        <v>98</v>
      </c>
      <c r="H4" s="8" t="s">
        <v>160</v>
      </c>
      <c r="I4" s="8" t="s">
        <v>99</v>
      </c>
      <c r="J4" s="8" t="s">
        <v>100</v>
      </c>
      <c r="K4" s="8" t="s">
        <v>115</v>
      </c>
      <c r="L4" s="8" t="s">
        <v>101</v>
      </c>
      <c r="M4" s="8" t="s">
        <v>102</v>
      </c>
      <c r="N4" s="10">
        <v>45261</v>
      </c>
      <c r="O4" s="1" t="str">
        <f>N4&amp;M4&amp;L4&amp;K4&amp;J4&amp;I4&amp;H4&amp;G4&amp;E4&amp;D4&amp;B4&amp;F4&amp;A4&amp;P4</f>
        <v>45261Termo Aditivo para utilizar os recursos do dinheiro que rendeu na aplicação para ofertar mais cursos para 2024.Em execuçãoLucas Candeira Albuquerque Teotonio, 278878-0;
Gerson Berbet Júnior, 278878-0;
Altamiro Pereira Faleiro Júnior, 00991171;Marco Seco - Diretor RegionalSENAI e FAP/DF SUPCDTQualificar profissionais em novas tecnologias, especialmente aquelas ligadas à indústria 4.0, assim como apoiar a inserção massiva destas tecnologias nos processos produtivos das empresas do DF, a partir da modernização de processos, inovaçäo em produtos e certificação de qualidade, conferindo ao setor produtivo local ganhos expressivos de competitividade e de mercado.25000000 FAPDFINOVATECH00193-00001151/2019-47-</v>
      </c>
      <c r="P4" s="8" t="s">
        <v>26</v>
      </c>
    </row>
    <row r="5" spans="1:16" ht="296.25" customHeight="1" x14ac:dyDescent="0.3">
      <c r="A5" s="12" t="s">
        <v>61</v>
      </c>
      <c r="B5" s="8"/>
      <c r="C5" s="8" t="s">
        <v>126</v>
      </c>
      <c r="D5" s="8"/>
      <c r="E5" s="13">
        <v>0</v>
      </c>
      <c r="F5" s="14" t="s">
        <v>235</v>
      </c>
      <c r="G5" s="8" t="s">
        <v>63</v>
      </c>
      <c r="H5" s="8" t="s">
        <v>159</v>
      </c>
      <c r="I5" s="8"/>
      <c r="J5" s="8"/>
      <c r="K5" s="8"/>
      <c r="L5" s="8" t="s">
        <v>64</v>
      </c>
      <c r="M5" s="8" t="s">
        <v>65</v>
      </c>
      <c r="N5" s="10"/>
      <c r="O5" s="1" t="str">
        <f>N5&amp;M5&amp;L5&amp;K5&amp;J5&amp;I5&amp;H5&amp;G5&amp;E5&amp;D5&amp;B5&amp;F5&amp;A5&amp;P5</f>
        <v>No ano de 2023, o Projeto Wi-Fi Social DF contabilizou mais de 100 milhões de acessos em todos os pontos que já contam com o serviço. Ademais, neste ano o Projeto Wi-Fi Social DF foi instalado em 19 novos pontos distribuídas em 26 Regiões Administrativas, totalizando 114 pontos instalados desde o início do projeto.Planeja-se a continuidade do projeto, de forma a alcançar todas as Regiões Administrativas do Distrito Federal até o final da gestão do Governo, contudo está sendo trabalhada em uma nova versão do Edital de Credenciamento DIDCIO Projeto Wi-Fi Social DF tem por objetivo oferecer à sociedade conexão gratuita à internet, por meio de sinal Wi-Fi, em diversos pontos do Distrito Federal. A principal finalidade do projeto é a inclusão digital e social da população.0WI-FI SOCIAL04008-00000126/2022-61O Projeto Wi-Fi Social DF não onera o orçamento da SECTI</v>
      </c>
      <c r="P5" s="8" t="s">
        <v>62</v>
      </c>
    </row>
    <row r="6" spans="1:16" ht="220.5" customHeight="1" x14ac:dyDescent="0.3">
      <c r="A6" s="12" t="s">
        <v>87</v>
      </c>
      <c r="B6" s="8" t="s">
        <v>88</v>
      </c>
      <c r="C6" s="8" t="s">
        <v>88</v>
      </c>
      <c r="D6" s="8" t="s">
        <v>130</v>
      </c>
      <c r="E6" s="17">
        <v>0</v>
      </c>
      <c r="F6" s="17"/>
      <c r="G6" s="8" t="s">
        <v>89</v>
      </c>
      <c r="H6" s="8" t="s">
        <v>161</v>
      </c>
      <c r="I6" s="8" t="s">
        <v>26</v>
      </c>
      <c r="J6" s="8" t="s">
        <v>26</v>
      </c>
      <c r="K6" s="8" t="s">
        <v>26</v>
      </c>
      <c r="L6" s="8" t="s">
        <v>90</v>
      </c>
      <c r="N6" s="10" t="s">
        <v>91</v>
      </c>
      <c r="O6" s="1" t="e">
        <f>N6&amp;#REF!&amp;L6&amp;K6&amp;J6&amp;I6&amp;H6&amp;G6&amp;E6&amp;D6&amp;C6&amp;B6&amp;A6&amp;P6</f>
        <v>#REF!</v>
      </c>
      <c r="P6" s="8" t="s">
        <v>162</v>
      </c>
    </row>
    <row r="7" spans="1:16" ht="183.75" customHeight="1" x14ac:dyDescent="0.3">
      <c r="A7" s="12" t="s">
        <v>103</v>
      </c>
      <c r="B7" s="8"/>
      <c r="C7" s="8" t="s">
        <v>104</v>
      </c>
      <c r="D7" s="8">
        <v>100</v>
      </c>
      <c r="E7" s="17">
        <v>0</v>
      </c>
      <c r="F7" s="14" t="s">
        <v>232</v>
      </c>
      <c r="G7" s="8" t="s">
        <v>105</v>
      </c>
      <c r="H7" s="8" t="s">
        <v>160</v>
      </c>
      <c r="I7" s="8" t="s">
        <v>106</v>
      </c>
      <c r="J7" s="8" t="s">
        <v>107</v>
      </c>
      <c r="K7" s="8" t="s">
        <v>116</v>
      </c>
      <c r="L7" s="8" t="s">
        <v>101</v>
      </c>
      <c r="M7" s="18" t="s">
        <v>108</v>
      </c>
      <c r="N7" s="10">
        <v>45254</v>
      </c>
      <c r="O7" s="1" t="str">
        <f>N7&amp;M7&amp;L7&amp;K7&amp;J7&amp;I7&amp;H7&amp;G7&amp;E7&amp;D7&amp;C7&amp;B7&amp;A7&amp;P7</f>
        <v>45254Renovação do projeto no processo SEI n° 04008-00000842/2023-29Em execuçãoLUCAS CANDEIRA ALBUQUERQUE TEOTÔNIO - Matr.0273892-9
LUCIANA DE CASTRO CABRERO GUIMARAES - Matr.1709979-X
ANA PAULA ALMEIDA ARAGÃO- Matr. 1700483-7Vilmar Simion Nascimento - Coordenador GeralFAP-DF e Programando o Futuro SUPCDTEste instrumento tem por objeto promover a manutenção e ampliação das ações do projeto inovador de logística reversa, recondicionamento e reciclagem de equipamentos eletrônicos, com polo de economia circular (PEC) e formação de jovens e adultos em tecnologia da informação.0100Reciclotech04008-00000718/2021-00-</v>
      </c>
      <c r="P7" s="8" t="s">
        <v>26</v>
      </c>
    </row>
    <row r="8" spans="1:16" ht="409.5" x14ac:dyDescent="0.3">
      <c r="A8" s="7" t="s">
        <v>77</v>
      </c>
      <c r="B8" s="8"/>
      <c r="C8" s="8" t="s">
        <v>78</v>
      </c>
      <c r="D8" s="8" t="s">
        <v>119</v>
      </c>
      <c r="E8" s="9">
        <v>159999.43</v>
      </c>
      <c r="F8" s="9" t="s">
        <v>145</v>
      </c>
      <c r="G8" s="8" t="s">
        <v>120</v>
      </c>
      <c r="H8" s="8" t="s">
        <v>159</v>
      </c>
      <c r="I8" s="8" t="s">
        <v>132</v>
      </c>
      <c r="J8" s="8" t="s">
        <v>110</v>
      </c>
      <c r="K8" s="8" t="s">
        <v>111</v>
      </c>
      <c r="L8" s="8" t="s">
        <v>17</v>
      </c>
      <c r="M8" s="8" t="s">
        <v>80</v>
      </c>
      <c r="N8" s="10">
        <v>44531</v>
      </c>
      <c r="O8" s="1" t="str">
        <f t="shared" ref="O8" si="0">N8&amp;M8&amp;L8&amp;K8&amp;J8&amp;I8&amp;H8&amp;G8&amp;E8&amp;D8&amp;C8&amp;B8&amp;A8&amp;P8</f>
        <v>44531Redação do Parecer Técnico Conclusivo de Análise de Prestação de Contas Final.Em fase de Prestação de ContasGerson Berbet Júnior, 278878-0;
Bruno Limeira Teixeira Pinheiro, 02784424;
Patrícia Moutinho Correia, 277609X;
Davi Ferreira da Costa, 02824744;MARIA VIEIRA AMORIM FRANCO, (61) 99574-9246 FPCIAA DIDCIINOVAPOL
É um programa de promoção da inovação aberta, dedicada à segurança pública, que promove o desenvolvimento tecnológico encadeado entre empresas líderes e proponentes e oferece acesso a fontes de financiamento. Ocorre como um concurso que seleciona iniciativas para recebimento de diversas vantagens.159999,43Emenda ParlamentarClaudio Abrantes04008-00000755/2020-29-</v>
      </c>
      <c r="P8" s="8" t="s">
        <v>26</v>
      </c>
    </row>
    <row r="9" spans="1:16" ht="409.5" x14ac:dyDescent="0.3">
      <c r="A9" s="12" t="s">
        <v>92</v>
      </c>
      <c r="B9" s="8" t="s">
        <v>93</v>
      </c>
      <c r="C9" s="14" t="s">
        <v>154</v>
      </c>
      <c r="D9" s="8" t="s">
        <v>153</v>
      </c>
      <c r="E9" s="17"/>
      <c r="F9" s="17" t="s">
        <v>167</v>
      </c>
      <c r="G9" s="8" t="s">
        <v>165</v>
      </c>
      <c r="H9" s="8" t="s">
        <v>161</v>
      </c>
      <c r="I9" s="8" t="s">
        <v>26</v>
      </c>
      <c r="J9" s="8" t="s">
        <v>26</v>
      </c>
      <c r="K9" s="8" t="s">
        <v>94</v>
      </c>
      <c r="L9" s="8" t="s">
        <v>90</v>
      </c>
      <c r="M9" s="8" t="s">
        <v>95</v>
      </c>
      <c r="N9" s="10"/>
      <c r="O9" s="1" t="str">
        <f t="shared" ref="O9:O13" si="1">N9&amp;M9&amp;L9&amp;K9&amp;J9&amp;I9&amp;H9&amp;G9&amp;E9&amp;D9&amp;C9&amp;B9&amp;A9&amp;P9</f>
        <v>Avaliação da documentaçãoAnálise das propostasGILMAR MARQUES, matrícula nº 1700951-0, por parte da FAPDF e as servidoras KAMILA NASCIMENTO RANGEL, matrícula nº 02834790, PATRÍCIA DE ARAGÃO CARVALHO-- DIECChamamento público de Organização da Sociedade Civil para, em parceria com o Distrito Federal, por meio da Secretaria de Estado de Ciência, Tecnologia e Inovação do Distrito Federal (SECTI) e a Fundação de Apoio à Pesquisa (FAPDF) dar continuidade à implantação, execução e aprimoramento do sistema de logística reversa e economia circular de equipamentos eletrônicos do Distrito Federal, com a implantação de um polo de economia circular (PEC) em 5 macrorregiões, além da formação de jovens e adultos em tecnologia da informação no período de 18 (dezoito) meses, prorrogáveis por igual período. Fonte 100 Programa de Trabalho: 19.571.6207.6026.0012 - EXECUÇÃO DE ATIVIDADES DE FOMENTO AO DESENVOLVIMENTO CIENTÍFICO, TECNOLÓGICO E DE INOVAÇÃOEdital n° 15/202304008-00000842/2023-29  Nova Reciclotech</v>
      </c>
      <c r="P9" s="8" t="s">
        <v>166</v>
      </c>
    </row>
    <row r="10" spans="1:16" ht="409.5" x14ac:dyDescent="0.3">
      <c r="A10" s="12" t="s">
        <v>45</v>
      </c>
      <c r="B10" s="8" t="s">
        <v>237</v>
      </c>
      <c r="C10" s="8" t="s">
        <v>236</v>
      </c>
      <c r="D10" s="8" t="s">
        <v>46</v>
      </c>
      <c r="E10" s="19">
        <v>5000000</v>
      </c>
      <c r="F10" s="13" t="s">
        <v>47</v>
      </c>
      <c r="G10" s="19" t="s">
        <v>171</v>
      </c>
      <c r="H10" s="14" t="s">
        <v>174</v>
      </c>
      <c r="I10" s="8" t="s">
        <v>168</v>
      </c>
      <c r="J10" s="8" t="s">
        <v>169</v>
      </c>
      <c r="K10" s="8" t="s">
        <v>170</v>
      </c>
      <c r="L10" s="8" t="s">
        <v>173</v>
      </c>
      <c r="M10" s="8" t="s">
        <v>172</v>
      </c>
      <c r="N10" s="10">
        <v>45651</v>
      </c>
      <c r="O10" s="1" t="str">
        <f t="shared" si="1"/>
        <v>45651Programação de lançamento para dia 30 de Janeiro às 10h no Planetário.Fase de lançamentoThaís Fernandes (mat 0283826-5);                                                                                        Bruno Frota (mat 0283539-8);                                                                                                    Gilberto Haraguchi (mat 0282806-5);                                                                                                   Henrique Filho (mat 1697839-0);                                                                                       Samuel Teles (mat 0282816-2);                                                                                                     Daniel Amorim (mat 0283993-8).Gustavo Augusto Moura de Sá - Presidente                    (61) 98164-5096Associação de Educação, Esporte, Cultura e Economia Criativa - AECECSICID/DICIDPROGRAMA DE CAPACITAÇÃO PARA INOVAÇÃO DO DF5000000Fonte 100 TERMO DE COLABORAÇÃO 01/2023 - SECTI e Associação de Educação, Esporte, Cultura e Economia Criativa - AECEC. CHAMAMENTO PÚBLICO N° 1/2023TERMO DE COLABORAÇÃO 01/202304008-00000860/2023-19  </v>
      </c>
      <c r="P10" s="8" t="s">
        <v>48</v>
      </c>
    </row>
    <row r="11" spans="1:16" ht="409.5" x14ac:dyDescent="0.35">
      <c r="A11" s="12" t="s">
        <v>49</v>
      </c>
      <c r="B11" s="8" t="s">
        <v>124</v>
      </c>
      <c r="C11" s="8" t="s">
        <v>50</v>
      </c>
      <c r="D11" s="8" t="s">
        <v>136</v>
      </c>
      <c r="E11" s="13">
        <v>1999209.38</v>
      </c>
      <c r="F11" s="14" t="s">
        <v>124</v>
      </c>
      <c r="G11" s="8" t="s">
        <v>51</v>
      </c>
      <c r="H11" s="8" t="s">
        <v>52</v>
      </c>
      <c r="I11" s="8" t="s">
        <v>133</v>
      </c>
      <c r="J11" s="8"/>
      <c r="K11" s="8" t="s">
        <v>163</v>
      </c>
      <c r="L11" s="8"/>
      <c r="M11" s="10">
        <v>45226</v>
      </c>
      <c r="N11" s="10" t="s">
        <v>155</v>
      </c>
      <c r="O11" s="1" t="str">
        <f t="shared" si="1"/>
        <v>Até 31/05/202445226INSTRUÇÃO Nº 62 DE 23 DE NOVEMBRO DE 2023
Ana Paula Almeida Aragão, matrícula nº 1700483-7 (FAPDF)
Larissa Jesus de Souza, matrícula nº 1694038-5 (FAPDF)
Bruno Mariano Souza Lopes Frota, matrícula nº 0283539-8 (SECTI)FAPDF E CDESEDF
SUPCDT/SICIDProjeto “Programa de Desenvolvimento Regional e Transformação Digital das Cadeias Produtivas dos Municípios do entorno do DF1999209,38Unidade Orçamentária: 40.201
  Chamada Pública nº 001/2023, do Edital n.º 01/2023 - DESAFIO DF DESAFIO DF04008-00000866/2023-88Fonte de Recursos: 100100000
Programa de Trabalho: 19571620760260012
Natureza da Despesa: 339020</v>
      </c>
      <c r="P11" s="20" t="s">
        <v>137</v>
      </c>
    </row>
    <row r="12" spans="1:16" ht="232.5" customHeight="1" x14ac:dyDescent="0.3">
      <c r="A12" s="12" t="s">
        <v>13</v>
      </c>
      <c r="B12" s="8" t="s">
        <v>175</v>
      </c>
      <c r="C12" s="8" t="s">
        <v>176</v>
      </c>
      <c r="D12" s="8" t="s">
        <v>127</v>
      </c>
      <c r="E12" s="13">
        <v>580000</v>
      </c>
      <c r="F12" s="13" t="s">
        <v>177</v>
      </c>
      <c r="G12" s="8" t="s">
        <v>178</v>
      </c>
      <c r="H12" s="8" t="s">
        <v>179</v>
      </c>
      <c r="I12" s="8" t="s">
        <v>15</v>
      </c>
      <c r="J12" s="8" t="s">
        <v>16</v>
      </c>
      <c r="K12" s="8" t="s">
        <v>67</v>
      </c>
      <c r="L12" s="8" t="s">
        <v>17</v>
      </c>
      <c r="M12" s="8" t="s">
        <v>18</v>
      </c>
      <c r="N12" s="10">
        <v>45261</v>
      </c>
      <c r="O12" s="1" t="str">
        <f t="shared" si="1"/>
        <v>45261Evento: 27, 28 e 29/10/2023Em fase de Prestação de ContasAltamiro Pereira F. Junior, Gilberto Keiji Haraguchi, Ana Clara Tavares da SilvaACI BARBOSA (61) 9 8421-8838MOVIMENTO INOVASICID / DIJERealizar o “Brasília E-Games Experience", festival que reúne games, robótica, inovação, tecnologia e pesquisa
científica na área digital, com a participação de palestrantes locais e nacionais que tenham conhecimento sobre as
temáticas citadas, com destaque para robótica e games.580000100 EPIEmenda Parlamentar Eduardo PedrosaTermo de Fomento 06/202304008-00000878/2023-11</v>
      </c>
      <c r="P12" s="8"/>
    </row>
    <row r="13" spans="1:16" ht="290.25" customHeight="1" x14ac:dyDescent="0.3">
      <c r="A13" s="12" t="s">
        <v>9</v>
      </c>
      <c r="B13" s="8" t="s">
        <v>180</v>
      </c>
      <c r="C13" s="8" t="s">
        <v>176</v>
      </c>
      <c r="D13" s="8" t="s">
        <v>128</v>
      </c>
      <c r="E13" s="13">
        <v>490000</v>
      </c>
      <c r="F13" s="13" t="s">
        <v>146</v>
      </c>
      <c r="G13" s="8" t="s">
        <v>181</v>
      </c>
      <c r="H13" s="8" t="s">
        <v>182</v>
      </c>
      <c r="I13" s="8" t="s">
        <v>10</v>
      </c>
      <c r="J13" s="8" t="s">
        <v>11</v>
      </c>
      <c r="K13" s="8" t="s">
        <v>66</v>
      </c>
      <c r="L13" s="8" t="s">
        <v>17</v>
      </c>
      <c r="M13" s="8" t="s">
        <v>12</v>
      </c>
      <c r="N13" s="10">
        <v>45269</v>
      </c>
      <c r="O13" s="1" t="str">
        <f t="shared" si="1"/>
        <v>4526907/08/2023 a 20/12/23 Produção: 14/08/2023 a 09/12/2023Em fase de Prestação de ContasDayane Tavares da Silva Veras, Gustavo Alves Gomes, Ana Clara Tavares da Silva, Éden Agnel da Silva AlbuquerqueANDRÉ MAURO (61) 9 9672-2265ONG. CERRADO LIVRE SUPCDT / DIDCIRealização do projeto “Capacitech”, sendo um projeto voltado para fomentar a tecnologia e a inovação, por meio da disponibilização gratuita de curso e workshops voltados para a produção de jogos eletrônicos e audiovisual para alunos da rede pública.490000100 EPI  Emenda Parlamentar Eduardo PedrosaTermo de Fomento 02/202304008-00000897/2023-39</v>
      </c>
      <c r="P13" s="8"/>
    </row>
    <row r="14" spans="1:16" ht="409.6" customHeight="1" x14ac:dyDescent="0.3">
      <c r="A14" s="12" t="s">
        <v>74</v>
      </c>
      <c r="B14" s="8" t="s">
        <v>183</v>
      </c>
      <c r="C14" s="8" t="s">
        <v>176</v>
      </c>
      <c r="D14" s="21" t="s">
        <v>127</v>
      </c>
      <c r="E14" s="9">
        <v>580000</v>
      </c>
      <c r="F14" s="14" t="s">
        <v>75</v>
      </c>
      <c r="G14" s="8" t="s">
        <v>185</v>
      </c>
      <c r="H14" s="8" t="s">
        <v>160</v>
      </c>
      <c r="I14" s="8" t="s">
        <v>76</v>
      </c>
      <c r="J14" s="8" t="s">
        <v>109</v>
      </c>
      <c r="K14" s="8" t="s">
        <v>220</v>
      </c>
      <c r="L14" s="8" t="s">
        <v>17</v>
      </c>
      <c r="M14" s="8" t="s">
        <v>138</v>
      </c>
      <c r="N14" s="10" t="s">
        <v>184</v>
      </c>
      <c r="O14" s="1" t="str">
        <f t="shared" ref="O14:O18" si="2">N14&amp;M14&amp;L14&amp;K14&amp;J14&amp;I14&amp;H14&amp;G14&amp;E14&amp;D14&amp;C14&amp;B14&amp;A14&amp;P14</f>
        <v xml:space="preserve"> Dezembro/23
Evento: 09,10,11 e 12/11/23.Em fase de Prestação de ContasEduardo Almeida Castro,                                                                                 Samara Gomes de Araújo,                                                                                        Thayna Valença CostaFERNANDO BORGES, (61) 98133-9587ASSOCIAÇÃO AMIGOS DO FUTURO SUPCDTRealização da “Expo Impacto”, evento de imersão que visa integrar a comunidade, o ecossistema de inovação, ciência e sustentabilidade e empreendedores com impacto social, para compartilhar seus conhecimentos sobre ampliação de possibilidades de carreiras em negócios, assim como debater sobre temas relacionados a GovTec e os impactos positivos que isto pode gerar para o setor público.580000100 EPIEmenda Parlamentar Eduardo PedrosaTermo de Fomento 7/202304008-00000934/2023-17-</v>
      </c>
      <c r="P14" s="8" t="s">
        <v>26</v>
      </c>
    </row>
    <row r="15" spans="1:16" ht="409.5" x14ac:dyDescent="0.3">
      <c r="A15" s="12" t="s">
        <v>69</v>
      </c>
      <c r="B15" s="8" t="s">
        <v>186</v>
      </c>
      <c r="C15" s="8" t="s">
        <v>176</v>
      </c>
      <c r="D15" s="21" t="s">
        <v>187</v>
      </c>
      <c r="E15" s="9">
        <f>420000 + 300000</f>
        <v>720000</v>
      </c>
      <c r="F15" s="9" t="s">
        <v>147</v>
      </c>
      <c r="G15" s="8" t="s">
        <v>70</v>
      </c>
      <c r="H15" s="8" t="s">
        <v>117</v>
      </c>
      <c r="I15" s="8" t="s">
        <v>134</v>
      </c>
      <c r="J15" s="8" t="s">
        <v>118</v>
      </c>
      <c r="K15" s="8" t="s">
        <v>188</v>
      </c>
      <c r="L15" s="8" t="s">
        <v>189</v>
      </c>
      <c r="M15" s="8" t="s">
        <v>139</v>
      </c>
      <c r="N15" s="10" t="s">
        <v>190</v>
      </c>
      <c r="O15" s="1" t="str">
        <f t="shared" si="2"/>
        <v xml:space="preserve"> Dezembro /23
Evento: 24, 25 e 26/11.Em fase de prestação de contasAltamiro Pereira Faleiro Júnior                                                                      Grazielle Dutra Machado                               Valdir Cardoso dos SantosGUSTAVO AUGUSTO, (61) 98164-5096AECECSUPCDTFETUC - FEIRA DE EMPREENDEDORISMO TURÍSTICO E CRIATIVO - 2ª EDIÇÃO720000Fonte 100 EPIEmenda Parlamentar Eduardo PedrosaTermo de Fomento 11/202304008-00000935/2023-53-</v>
      </c>
      <c r="P15" s="8" t="s">
        <v>26</v>
      </c>
    </row>
    <row r="16" spans="1:16" ht="409.5" x14ac:dyDescent="0.3">
      <c r="A16" s="12" t="s">
        <v>71</v>
      </c>
      <c r="B16" s="8" t="s">
        <v>191</v>
      </c>
      <c r="C16" s="8" t="s">
        <v>192</v>
      </c>
      <c r="D16" s="21" t="s">
        <v>187</v>
      </c>
      <c r="E16" s="9">
        <v>850000</v>
      </c>
      <c r="F16" s="14" t="s">
        <v>72</v>
      </c>
      <c r="G16" s="8" t="s">
        <v>195</v>
      </c>
      <c r="H16" s="8" t="s">
        <v>117</v>
      </c>
      <c r="I16" s="8" t="s">
        <v>73</v>
      </c>
      <c r="J16" s="8" t="s">
        <v>164</v>
      </c>
      <c r="K16" s="8" t="s">
        <v>193</v>
      </c>
      <c r="L16" s="8" t="s">
        <v>101</v>
      </c>
      <c r="M16" s="8" t="s">
        <v>194</v>
      </c>
      <c r="N16" s="10">
        <v>45412</v>
      </c>
      <c r="O16" s="1" t="str">
        <f t="shared" si="2"/>
        <v>4541220/11/23  a  21/04 /24.                                                                                                                                                                                                Laçamento: 28/11                                                                                            Evento: 23/11 a 30/04/2023.Em execuçãoKamila Nascimento Rangel                                                                      Grazielle Dutra Machado                               Francielly Figueiredo Osório                                                                       Samuel Campos dos S. R. TelesHEISENBERG, (61) 99977-3320 (61) 98581-7196INSTITUTO DESPONTA BRASILSUPCDTA Plataforma BXB - BRASÍLIA DESIGN tem como proposta fomentar a economia criativa, o design, a cultura local e a pesquisa, além de desenvolver o mercado e criar experiências urbanas abrangentes para a promoção e comercialização do design brasiliense. Será lançada por meio da realização do evento Brasília Design Week.850000Fonte 100 EPIEmenda parlamentar Joaquim Roriz NetoTermo de Fomento 10/202304008-00001021/2023-18-</v>
      </c>
      <c r="P16" s="8" t="s">
        <v>26</v>
      </c>
    </row>
    <row r="17" spans="1:16" ht="409.5" x14ac:dyDescent="0.3">
      <c r="A17" s="7" t="s">
        <v>84</v>
      </c>
      <c r="B17" s="8" t="s">
        <v>196</v>
      </c>
      <c r="C17" s="8" t="s">
        <v>197</v>
      </c>
      <c r="D17" s="8" t="s">
        <v>187</v>
      </c>
      <c r="E17" s="9">
        <v>800000</v>
      </c>
      <c r="F17" s="14" t="s">
        <v>85</v>
      </c>
      <c r="G17" s="8" t="s">
        <v>198</v>
      </c>
      <c r="H17" s="8" t="s">
        <v>159</v>
      </c>
      <c r="I17" s="8" t="s">
        <v>135</v>
      </c>
      <c r="J17" s="8" t="s">
        <v>113</v>
      </c>
      <c r="K17" s="22" t="s">
        <v>114</v>
      </c>
      <c r="L17" s="8" t="s">
        <v>86</v>
      </c>
      <c r="M17" s="23" t="s">
        <v>199</v>
      </c>
      <c r="N17" s="10">
        <v>45261</v>
      </c>
      <c r="O17" s="1" t="str">
        <f t="shared" si="2"/>
        <v>45261CONTRATO ENCERRADO.FOI NOTIFICADO PELA COMISSÃO DE FISCALIZAÇÃO A PRESTAR CONTAS.Rescisão unilateral do Termo de FomentoGerson Berbet Júnior, 278878-0;
Michele Campos dos S L Anconi, 02824744;
Patrícia Moutinho Correia, 277609X;
Bruno Limeira Teixeira Pinheiro, 02784424;MATEUS, (61) 98490-6006 IDISC DIDCICriação de uma central direcionada a gestão de participação do cidadão nas redes sociais e a SWAPP - Social Web Application, integrado com dispositivos móveis, redes sociais e portal do governo, que viabiliza ampla participação do cidadão no processo de desenvolvimento de políticas públicas.800000Fonte 100 EPIEmenda Parlamentar Daniel DonizeteTermo de Fomento 2/202104008-00001117/2021-14</v>
      </c>
      <c r="P17" s="8"/>
    </row>
    <row r="18" spans="1:16" ht="409.5" x14ac:dyDescent="0.3">
      <c r="A18" s="12" t="s">
        <v>41</v>
      </c>
      <c r="B18" s="8" t="s">
        <v>42</v>
      </c>
      <c r="C18" s="8" t="s">
        <v>42</v>
      </c>
      <c r="D18" s="8" t="s">
        <v>200</v>
      </c>
      <c r="E18" s="13">
        <v>0</v>
      </c>
      <c r="F18" s="13" t="s">
        <v>248</v>
      </c>
      <c r="G18" s="8" t="s">
        <v>43</v>
      </c>
      <c r="H18" s="8" t="s">
        <v>20</v>
      </c>
      <c r="I18" s="8" t="s">
        <v>26</v>
      </c>
      <c r="J18" s="8" t="s">
        <v>26</v>
      </c>
      <c r="K18" s="8" t="s">
        <v>26</v>
      </c>
      <c r="L18" s="8" t="s">
        <v>44</v>
      </c>
      <c r="M18" s="8"/>
      <c r="N18" s="10"/>
      <c r="O18" s="1" t="str">
        <f t="shared" si="2"/>
        <v>Edital em fase de revisão---DICIDNovo Edital de Credenciamento ao Projeto Conecta DF (Renovação do Wi-Fi Social)0 -Edital de Credenciamento Nº XX/2023Edital de Credenciamento Nº XX/202304008-00001257/2023-46 (antigo Wi-Fi Social DF) não onera o orçamento da SECTI, tendo em vista que o projeto fora regido através da versão anterior do Edital de Credenciamento 01/2022</v>
      </c>
      <c r="P18" s="8" t="s">
        <v>129</v>
      </c>
    </row>
    <row r="19" spans="1:16" ht="186" customHeight="1" x14ac:dyDescent="0.3">
      <c r="A19" s="12" t="s">
        <v>58</v>
      </c>
      <c r="B19" s="8" t="s">
        <v>201</v>
      </c>
      <c r="C19" s="8" t="s">
        <v>59</v>
      </c>
      <c r="D19" s="8" t="s">
        <v>55</v>
      </c>
      <c r="E19" s="13">
        <v>0</v>
      </c>
      <c r="F19" s="13" t="s">
        <v>233</v>
      </c>
      <c r="G19" s="8" t="s">
        <v>60</v>
      </c>
      <c r="H19" s="8" t="s">
        <v>14</v>
      </c>
      <c r="I19" s="8"/>
      <c r="J19" s="8"/>
      <c r="K19" s="8"/>
      <c r="L19" s="8"/>
      <c r="M19" s="8"/>
      <c r="N19" s="10"/>
      <c r="O19" s="1" t="str">
        <f t="shared" ref="O19:O23" si="3">N19&amp;M19&amp;L19&amp;K19&amp;J19&amp;I19&amp;H19&amp;G19&amp;E19&amp;D19&amp;C19&amp;B19&amp;A19&amp;P19</f>
        <v>DIJEDivulgar a Secretaria de Estado de Ciência, Tecnologia e Inovação juntamente com o Governo do Distrito Federal, atravez das ações da Subsecretaria de Inovação, Capacitação e Inclusão Digital. 0não houveApoio ao Evento GeekVerse FestivalApoio (divulgação pela SECTI)04008-00001258/2023-91</v>
      </c>
      <c r="P19" s="8"/>
    </row>
    <row r="20" spans="1:16" ht="409.5" x14ac:dyDescent="0.3">
      <c r="A20" s="12" t="s">
        <v>23</v>
      </c>
      <c r="B20" s="8" t="s">
        <v>202</v>
      </c>
      <c r="C20" s="8" t="s">
        <v>203</v>
      </c>
      <c r="D20" s="8" t="s">
        <v>127</v>
      </c>
      <c r="E20" s="13">
        <v>400000</v>
      </c>
      <c r="F20" s="13" t="s">
        <v>148</v>
      </c>
      <c r="G20" s="8" t="s">
        <v>204</v>
      </c>
      <c r="H20" s="8" t="s">
        <v>14</v>
      </c>
      <c r="I20" s="8" t="s">
        <v>24</v>
      </c>
      <c r="J20" s="8" t="s">
        <v>25</v>
      </c>
      <c r="K20" s="22" t="s">
        <v>205</v>
      </c>
      <c r="L20" s="8" t="s">
        <v>101</v>
      </c>
      <c r="M20" s="8" t="s">
        <v>206</v>
      </c>
      <c r="N20" s="10" t="s">
        <v>207</v>
      </c>
      <c r="O20" s="1" t="str">
        <f t="shared" si="3"/>
        <v>Abril de 2024Dezembro/2023 a Abril/2024                                                                                                                                                                                             Evento: 27 e 28/janeiro 2024                                                             24 e 25/fevereiro 2024                                                           30 e 31/março 2024Em execuçãoÉden Agnel da Silva Albuquerque                                                                      Kíssila Nacif Nicolai                                                         Ana Clara Tavares da SilvaWILKER (61) 99194-9533INSTITUTO BRASIL RESPEITO HUMANODIJE“Inclusão E-Sports – 2ª Edição”, sendo um projeto voltado para fomentar a tecnologia e a inovação através dos “E-Sports”, proporcionando um espaço amplo e democrático para que crianças e adolescentes em situação de vulnerabilidade possam vivenciar a experiência esportiva dos jogos eletrônicos400000100 EPIEmenda Parlamentar Thiago ManzoniTermo de Fomento 15/202304008-00001348/2023-81</v>
      </c>
      <c r="P20" s="8"/>
    </row>
    <row r="21" spans="1:16" ht="409.5" x14ac:dyDescent="0.3">
      <c r="A21" s="12" t="s">
        <v>27</v>
      </c>
      <c r="B21" s="8" t="s">
        <v>208</v>
      </c>
      <c r="C21" s="8" t="s">
        <v>203</v>
      </c>
      <c r="D21" s="8" t="s">
        <v>127</v>
      </c>
      <c r="E21" s="13">
        <v>550000</v>
      </c>
      <c r="F21" s="13" t="s">
        <v>149</v>
      </c>
      <c r="G21" s="8" t="s">
        <v>210</v>
      </c>
      <c r="H21" s="8" t="s">
        <v>20</v>
      </c>
      <c r="I21" s="8" t="s">
        <v>28</v>
      </c>
      <c r="J21" s="8" t="s">
        <v>29</v>
      </c>
      <c r="K21" s="8" t="s">
        <v>209</v>
      </c>
      <c r="L21" s="8" t="s">
        <v>101</v>
      </c>
      <c r="M21" s="8" t="s">
        <v>140</v>
      </c>
      <c r="N21" s="10" t="s">
        <v>141</v>
      </c>
      <c r="O21" s="1" t="str">
        <f t="shared" si="3"/>
        <v>Outubro/23 a Agosto/2024 1ª etapa: 02/10/2023 a 03/01/2024Em execuçãoEduardo Almeida Castro                                                                      Ian Fontenele Figueiredo                                                             Mirella Camelo VieiraPROF. RICARDO CALDAS (61) 98141-0000INSTITUTO ASCENDE DE POLÍTICAS PÚBLICASDICID Criação de um Observatório (Portal interativo) dos Pagadores de Impostos.  A ideia central do Projeto é conscientizar a sociedade sobre a importância de pagar os impostos e acompanhar os gastos públicos.550000100 EPIEmenda Parlamentar Thiago ManzoniTermo de Fomento 14/202304008-00001350/2023-51</v>
      </c>
      <c r="P21" s="8"/>
    </row>
    <row r="22" spans="1:16" ht="63" customHeight="1" x14ac:dyDescent="0.3">
      <c r="A22" s="12" t="s">
        <v>19</v>
      </c>
      <c r="B22" s="8" t="s">
        <v>211</v>
      </c>
      <c r="C22" s="8" t="s">
        <v>212</v>
      </c>
      <c r="D22" s="8" t="s">
        <v>127</v>
      </c>
      <c r="E22" s="13">
        <v>200000</v>
      </c>
      <c r="F22" s="13" t="s">
        <v>150</v>
      </c>
      <c r="G22" s="8" t="s">
        <v>215</v>
      </c>
      <c r="H22" s="8" t="s">
        <v>20</v>
      </c>
      <c r="I22" s="8" t="s">
        <v>21</v>
      </c>
      <c r="J22" s="8" t="s">
        <v>22</v>
      </c>
      <c r="K22" s="8" t="s">
        <v>213</v>
      </c>
      <c r="L22" s="8" t="s">
        <v>17</v>
      </c>
      <c r="M22" s="8" t="s">
        <v>142</v>
      </c>
      <c r="N22" s="10" t="s">
        <v>214</v>
      </c>
      <c r="O22" s="1" t="str">
        <f t="shared" si="3"/>
        <v xml:space="preserve"> 31/12/2023 Evento: 20 a 23/11/2023Em fase de Prestação de ContasGilberto Keiji Haraguchi,                                                                    Ionio Rodrigues Serralha Neto,                                                                   Jeruza Pereira X. de OliveiraBRUNO KESSELER (61) 98601-5960PROJETO AS - SERVIR E AMARDICIDFeira de Conexão e Tecnologia no Campus do IFB em Planaltina - DF200000100 EPIEmenda Parlamentar PepaTermo de Fomento 08/202304008-00001351/2023-03</v>
      </c>
      <c r="P22" s="8"/>
    </row>
    <row r="23" spans="1:16" ht="409.5" x14ac:dyDescent="0.3">
      <c r="A23" s="12" t="s">
        <v>33</v>
      </c>
      <c r="B23" s="8" t="s">
        <v>216</v>
      </c>
      <c r="C23" s="8" t="s">
        <v>203</v>
      </c>
      <c r="D23" s="8" t="s">
        <v>127</v>
      </c>
      <c r="E23" s="13">
        <v>250000</v>
      </c>
      <c r="F23" s="13" t="s">
        <v>34</v>
      </c>
      <c r="G23" s="8" t="s">
        <v>217</v>
      </c>
      <c r="H23" s="8" t="s">
        <v>20</v>
      </c>
      <c r="I23" s="8" t="s">
        <v>35</v>
      </c>
      <c r="J23" s="8" t="s">
        <v>36</v>
      </c>
      <c r="K23" s="22" t="s">
        <v>218</v>
      </c>
      <c r="L23" s="8" t="s">
        <v>101</v>
      </c>
      <c r="M23" s="8" t="s">
        <v>219</v>
      </c>
      <c r="N23" s="10" t="s">
        <v>143</v>
      </c>
      <c r="O23" s="1" t="str">
        <f t="shared" si="3"/>
        <v>01/12/23 a 31/03/2024 Lançamento: 19/12/2023Em execuçãoJessica Natasha Ribeiro Haq                                                                      Kamila Nascimento Rangel CAIO - COCENTRO (31) 98448-3762FEDERAÇÃO DAS EMPRESAS JUNIORES DO DFDICIDApoiar a realização do projeto Salve um Negócio oferecendo acesso a inovação por meio da metodologia de gestão empresarial “fast consult” e desenvolvimento tecnológico por meio de “Consultoria Especializada” para 50 microempreendedores individuais e pequenas empresas (MEIs e MPEs) do Distrito Federal, visando o desenvolvimento e fortalecimento das mesmas.250000100 EPIEmenda Parlamentar Thiago ManzoniTermo de Fomento 12/202304008-00001406/2023-77</v>
      </c>
      <c r="P23" s="8"/>
    </row>
    <row r="24" spans="1:16" ht="409.5" x14ac:dyDescent="0.3">
      <c r="A24" s="12" t="s">
        <v>30</v>
      </c>
      <c r="B24" s="8" t="s">
        <v>221</v>
      </c>
      <c r="C24" s="8" t="s">
        <v>203</v>
      </c>
      <c r="D24" s="8" t="s">
        <v>127</v>
      </c>
      <c r="E24" s="13">
        <v>600000</v>
      </c>
      <c r="F24" s="13" t="s">
        <v>151</v>
      </c>
      <c r="G24" s="8" t="s">
        <v>222</v>
      </c>
      <c r="H24" s="8" t="s">
        <v>20</v>
      </c>
      <c r="I24" s="8" t="s">
        <v>31</v>
      </c>
      <c r="J24" s="8" t="s">
        <v>32</v>
      </c>
      <c r="K24" s="22" t="s">
        <v>223</v>
      </c>
      <c r="L24" s="8" t="s">
        <v>101</v>
      </c>
      <c r="M24" s="8" t="s">
        <v>224</v>
      </c>
      <c r="N24" s="10">
        <v>45533</v>
      </c>
      <c r="O24" s="1" t="str">
        <f>N24&amp;M24&amp;L24&amp;K24&amp;J24&amp;I24&amp;H24&amp;G24&amp;E24&amp;D24&amp;C24&amp;B24&amp;A24&amp;P24</f>
        <v>4553329/12/2023 a 29/08/2024Em execuçãoCássia Eduarda Alves Barcelos                                                                     Ian Fontenele Figueiredo                                               Suely Ap. Nunes da Silva Barbosa                                                              Renato Rocha Cardoso da SilvaHUGO GIALLANZA (61) 98275-2274ASSOCIAÇÃO BRASIL STARTUPSDICIDEstimular o ecossistema empreendedor por meio de capacitações para o desenvolvimento de produtos, serviços e processos inovadores, por meio da concessão de fomento (subvenção econômica e bolsa de caráter não reembolsável), apoiando empreendedores de baixa renda e startups em fase de ideação, a partir da transformação de ideias em oportunidades de negócios no Distrito Federal e RIDE600000100 EPIEmenda Parlamentar Thiago ManzoniTermo de Fomento 18/202304008-00001407/2023-11</v>
      </c>
      <c r="P24" s="8"/>
    </row>
    <row r="25" spans="1:16" ht="409.5" x14ac:dyDescent="0.3">
      <c r="A25" s="12" t="s">
        <v>37</v>
      </c>
      <c r="B25" s="8" t="s">
        <v>225</v>
      </c>
      <c r="C25" s="8" t="s">
        <v>226</v>
      </c>
      <c r="D25" s="8" t="s">
        <v>127</v>
      </c>
      <c r="E25" s="13">
        <v>750000</v>
      </c>
      <c r="F25" s="13" t="s">
        <v>152</v>
      </c>
      <c r="G25" s="8" t="s">
        <v>228</v>
      </c>
      <c r="H25" s="8" t="s">
        <v>179</v>
      </c>
      <c r="I25" s="8" t="s">
        <v>38</v>
      </c>
      <c r="J25" s="8" t="s">
        <v>39</v>
      </c>
      <c r="K25" s="22" t="s">
        <v>227</v>
      </c>
      <c r="L25" s="8" t="s">
        <v>101</v>
      </c>
      <c r="M25" s="8" t="s">
        <v>229</v>
      </c>
      <c r="N25" s="10" t="s">
        <v>40</v>
      </c>
      <c r="O25" s="1" t="str">
        <f>N25&amp;M25&amp;L25&amp;K25&amp;J25&amp;I25&amp;H25&amp;G25&amp;E25&amp;D25&amp;C25&amp;B25&amp;A25&amp;P25</f>
        <v>13/12/23 a 31/06/2024Pré-produção: 21/12/23 a 01/03/2024                                                                              Produção 02/03/2024 a 25/05/2024                                                                                                Pós-produção: 26/05/2024 a 30/06/2024Em execuçãoSamara Gomes Araújo                                                                     Gilberto Keiji Haraguchi                              Renato rocha Cardoso da SilvaEDUARDO MOREIRA (61) 9 9143-0853INSTITUTO CONECTA BRASILSICID / DIJEO projeto visa a realização de um programa de tv exibido na TV Cultura no intuito de difundir as ações de inovação e tecnologia do Distrito Federal e região, contribuindo com profissionais, estudantes, governo e entusiastas do segmento. Serão realizados 13 episódios de 30” minutos aos sábados.750000100 EPIEmendas Parlamentares Doutora Jane  e Joaquim Roriz NetoTermo de Fomento 17/202304008-00001409/2023-19</v>
      </c>
      <c r="P25" s="8"/>
    </row>
    <row r="26" spans="1:16" s="27" customFormat="1" ht="378" customHeight="1" x14ac:dyDescent="0.3">
      <c r="A26" s="12" t="s">
        <v>238</v>
      </c>
      <c r="B26" s="8" t="s">
        <v>239</v>
      </c>
      <c r="C26" s="8" t="s">
        <v>240</v>
      </c>
      <c r="D26" s="8"/>
      <c r="E26" s="13">
        <v>3000000</v>
      </c>
      <c r="F26" s="13" t="s">
        <v>241</v>
      </c>
      <c r="G26" s="8" t="s">
        <v>244</v>
      </c>
      <c r="H26" s="8" t="s">
        <v>179</v>
      </c>
      <c r="I26" s="8" t="s">
        <v>242</v>
      </c>
      <c r="J26" s="8" t="s">
        <v>243</v>
      </c>
      <c r="K26" s="22" t="s">
        <v>245</v>
      </c>
      <c r="L26" s="24" t="s">
        <v>246</v>
      </c>
      <c r="M26" s="25" t="s">
        <v>247</v>
      </c>
      <c r="N26" s="26" t="s">
        <v>260</v>
      </c>
      <c r="O26" s="1" t="str">
        <f>Projetos[[#This Row],[Observações]]&amp;Projetos[[#This Row],[Encerramento da parceria]]&amp;Projetos[[#This Row],[Execução do Projeto]]&amp;Projetos[[#This Row],[Situação atual]]&amp;Projetos[[#This Row],[Comissão Gestora da Parceria]]&amp;Projetos[[#This Row],[Ponto Focal na Instituição Parceira]]&amp;Projetos[[#This Row],[Projeto]]&amp;Projetos[[#This Row],[Instituição Parceira]]&amp;Projetos[[#This Row],[Unidade SECTI Responsável]]&amp;Projetos[[#This Row],[Objeto/Finalidade]]&amp;Projetos[[#This Row],[Fonte de Custeio]]&amp;Projetos[[#This Row],[Valor]]&amp;Projetos[[#This Row],[Fonte de Custeio]]&amp;Projetos[[#This Row],[Mais informações do fomento]]&amp;Projetos[[#This Row],[Fomento]]&amp;Projetos[[#This Row],[Processo SEI]]</f>
        <v>Dezembro de 2024Janeiro/2024 a Dezembro/2024Análise de DocumentaçãoLeandro Batista Reis                                                                                     Samara Gomes de Araújo                                                                     Talinne Rangelli Campos Silva                                                                                                        Nelson rodrigues da Cruz                                                                                          Larissa Laine Hipólito AlvesJOFFRE MOREIRA (61) 9 9595-9459GAMIFICA DFINSTITUTO LÍDERES DO BRASILSICID / DIJE“GAMIFICA DF”, voltado a fomentar a capacitação de jovens, adolescentes e adultosnas áreas de base tecnológica do nicho de games, contando com curso de Marketing aplicado à Jogos Eletrônicos, Design de Jogos Eletrônicos e Desenvolvimento de Jogos Eletrônicos, a ser realizado em 5  (cinco) regiões administrativas, quais sejam: Plano Piloto, Recanto das Emas, Varjão, Águas Claras e Sol Nascente.3000000TERMO DE COLABORAÇÃO 02/2023 - SECTI e Instituto Líderes do Brasil. CHAMAMENTO PÚBLICO N° 03/2023Termo de Colaboração 02/202304008-00001526/2023-74</v>
      </c>
    </row>
    <row r="27" spans="1:16" ht="409.5" x14ac:dyDescent="0.3">
      <c r="A27" s="12" t="s">
        <v>249</v>
      </c>
      <c r="B27" s="8" t="s">
        <v>250</v>
      </c>
      <c r="C27" s="8" t="s">
        <v>251</v>
      </c>
      <c r="D27" s="8" t="s">
        <v>187</v>
      </c>
      <c r="E27" s="13">
        <v>990000</v>
      </c>
      <c r="F27" s="13" t="s">
        <v>252</v>
      </c>
      <c r="G27" s="8" t="s">
        <v>255</v>
      </c>
      <c r="H27" s="8" t="s">
        <v>117</v>
      </c>
      <c r="I27" s="8" t="s">
        <v>253</v>
      </c>
      <c r="J27" s="8" t="s">
        <v>254</v>
      </c>
      <c r="K27" s="22" t="s">
        <v>256</v>
      </c>
      <c r="L27" s="24" t="s">
        <v>257</v>
      </c>
      <c r="M27" s="25" t="s">
        <v>258</v>
      </c>
      <c r="N27" s="26" t="s">
        <v>259</v>
      </c>
      <c r="O27" s="1" t="str">
        <f>Projetos[[#This Row],[Observações]]&amp;Projetos[[#This Row],[Encerramento da parceria]]&amp;Projetos[[#This Row],[Execução do Projeto]]&amp;Projetos[[#This Row],[Situação atual]]&amp;Projetos[[#This Row],[Comissão Gestora da Parceria]]&amp;Projetos[[#This Row],[Ponto Focal na Instituição Parceira]]&amp;Projetos[[#This Row],[Instituição Parceira]]&amp;Projetos[[#This Row],[Unidade SECTI Responsável]]&amp;Projetos[[#This Row],[Objeto/Finalidade]]&amp;Projetos[[#This Row],[Projeto]]&amp;Projetos[[#This Row],[Valor]]&amp;Projetos[[#This Row],[Fonte de Custeio]]&amp;Projetos[[#This Row],[Mais informações do fomento]]&amp;Projetos[[#This Row],[Fomento]]&amp;Projetos[[#This Row],[Processo SEI]]</f>
        <v>Outubro de 202318/19 e 20/08/2023Fase de prestação de contasKamila Nascimento  Rangel                                                                   Samuel Campos dos S. R. Teles                                                                                      Victor Lucas Batista TavaresEDUARDO CAMPOS ASSOCIAÇÃO CRESCE DFSUPCDTRealização do “Eco Inova Brasília”, evento de imersão voltado para as start-ups e os ecossistemas de inovação e sustentabilidade, com foco também para as novas formas de produção de energia, com entrada gratuita e realização no Eixo Cultural Ibero-americano.PROJETO ECO INOVA BRASÍLIA990000Fonte 100 EPIEmendas Parlamentares Eduardo Pedrosa e Joaquim Roriz NetoTermo de Fomento 03/202304008-00000875/2023-79</v>
      </c>
      <c r="P27" s="27"/>
    </row>
    <row r="28" spans="1:16" ht="237" customHeight="1" x14ac:dyDescent="0.3">
      <c r="A28" s="12" t="s">
        <v>270</v>
      </c>
      <c r="B28" s="8" t="s">
        <v>261</v>
      </c>
      <c r="C28" s="8" t="s">
        <v>262</v>
      </c>
      <c r="D28" s="8" t="s">
        <v>187</v>
      </c>
      <c r="E28" s="13">
        <v>490000</v>
      </c>
      <c r="F28" s="28" t="s">
        <v>263</v>
      </c>
      <c r="G28" s="8" t="s">
        <v>268</v>
      </c>
      <c r="H28" s="8" t="s">
        <v>117</v>
      </c>
      <c r="I28" s="8" t="s">
        <v>242</v>
      </c>
      <c r="J28" s="8" t="s">
        <v>264</v>
      </c>
      <c r="K28" s="22" t="s">
        <v>265</v>
      </c>
      <c r="L28" s="24" t="s">
        <v>266</v>
      </c>
      <c r="M28" s="25" t="s">
        <v>267</v>
      </c>
      <c r="N28" s="26" t="s">
        <v>259</v>
      </c>
      <c r="O28" s="1" t="str">
        <f>Projetos[[#This Row],[Observações]]&amp;Projetos[[#This Row],[Encerramento da parceria]]&amp;Projetos[[#This Row],[Execução do Projeto]]&amp;Projetos[[#This Row],[Situação atual]]&amp;Projetos[[#This Row],[Comissão Gestora da Parceria]]&amp;Projetos[[#This Row],[Ponto Focal na Instituição Parceira]]&amp;Projetos[[#This Row],[Instituição Parceira]]&amp;Projetos[[#This Row],[Unidade SECTI Responsável]]&amp;Projetos[[#This Row],[Objeto/Finalidade]]&amp;Projetos[[#This Row],[Projeto]]&amp;Projetos[[#This Row],[Valor]]&amp;Projetos[[#This Row],[Fonte de Custeio]]&amp;Projetos[[#This Row],[Mais informações do fomento]]&amp;Projetos[[#This Row],[Fomento]]&amp;Projetos[[#This Row],[Processo SEI]]</f>
        <v>Outubro de 202326/09/2023 a 31/10/2023Fase de Prestação de ContasLeandro Batista Reis                                                                   Samara Gomes de Araújo,                            Thayna Valença CostaJOFFRE MOREIRA (61)9 9595-9459INSTITUTO LÍDERES DO BRASILSUPCDT Com objetivo de fomentar a tecnologia e a inovação, promovendo o mercado de jogos eletrônicos por meio de um festival de games, com participação direta do público com concursos e competição, trazendo a era digital para o Distrito FederalIGXP490000Fonte 100 EPIEmenda Parlamentare Eduardo Pedrosa Termo de Fomento 04/202304008-000001109/2023-21</v>
      </c>
      <c r="P28" s="27"/>
    </row>
    <row r="29" spans="1:16" ht="408.75" customHeight="1" x14ac:dyDescent="0.3">
      <c r="A29" s="12" t="s">
        <v>269</v>
      </c>
      <c r="B29" s="8" t="s">
        <v>271</v>
      </c>
      <c r="C29" s="8" t="s">
        <v>272</v>
      </c>
      <c r="D29" s="8" t="s">
        <v>187</v>
      </c>
      <c r="E29" s="13">
        <v>800000</v>
      </c>
      <c r="F29" s="28" t="s">
        <v>273</v>
      </c>
      <c r="G29" s="8" t="s">
        <v>279</v>
      </c>
      <c r="H29" s="8" t="s">
        <v>117</v>
      </c>
      <c r="I29" s="8" t="s">
        <v>274</v>
      </c>
      <c r="J29" s="8" t="s">
        <v>277</v>
      </c>
      <c r="K29" s="22" t="s">
        <v>275</v>
      </c>
      <c r="L29" s="24" t="s">
        <v>101</v>
      </c>
      <c r="M29" s="26" t="s">
        <v>278</v>
      </c>
      <c r="N29" s="26" t="s">
        <v>276</v>
      </c>
      <c r="O29" s="1" t="str">
        <f>Projetos[[#This Row],[Observações]]&amp;Projetos[[#This Row],[Encerramento da parceria]]&amp;Projetos[[#This Row],[Execução do Projeto]]&amp;Projetos[[#This Row],[Situação atual]]&amp;Projetos[[#This Row],[Comissão Gestora da Parceria]]&amp;Projetos[[#This Row],[Ponto Focal na Instituição Parceira]]&amp;Projetos[[#This Row],[Instituição Parceira]]&amp;Projetos[[#This Row],[Unidade SECTI Responsável]]&amp;Projetos[[#This Row],[Objeto/Finalidade]]&amp;Projetos[[#This Row],[Projeto]]&amp;Projetos[[#This Row],[Valor]]&amp;Projetos[[#This Row],[Fonte de Custeio]]&amp;Projetos[[#This Row],[Mais informações do fomento]]&amp;Projetos[[#This Row],[Fomento]]&amp;Projetos[[#This Row],[Processo SEI]]</f>
        <v>Outubro de 202423/12/2023 a 23/10/2024Em execuçãoGabriella de Oliveira Tavares                                                                     Mirella Camelo Vieira                               Altamiro Pereira Faleiro JúniorHUGO GIALLANZA                                                                            (61) 98275-2274BRASIL STARTUPSUPCDTAquecer o ecossistema de tecnologia e inovação do DF e RIDE, por meio da implantação de ações de estímulo à inovação aberta, promovendo novas, melhores e mais frequentes conexões entre atores-chave
do ecossistema, sensibilizando-os quanto aos desafios e oportunidades de inovação nos segmentos da saúde, finanças, educação, mulheres e populações vulneráveis, e governo (drivers de inovação).
START UP BRASÍLIA 2030800000Fonte 100 EPIEmendas Parlamentares Thiago Manzoni e Paula BelmonteTermo de Fomento 16/202304008-00001421/2023-15</v>
      </c>
      <c r="P29" s="27"/>
    </row>
    <row r="30" spans="1:16" ht="260.25" customHeight="1" x14ac:dyDescent="0.3">
      <c r="A30" s="12" t="s">
        <v>280</v>
      </c>
      <c r="B30" s="8" t="s">
        <v>281</v>
      </c>
      <c r="C30" s="8" t="s">
        <v>282</v>
      </c>
      <c r="D30" s="8" t="s">
        <v>187</v>
      </c>
      <c r="E30" s="13">
        <v>650000</v>
      </c>
      <c r="F30" s="28" t="s">
        <v>283</v>
      </c>
      <c r="G30" s="8" t="s">
        <v>284</v>
      </c>
      <c r="H30" s="8" t="s">
        <v>285</v>
      </c>
      <c r="I30" s="8" t="s">
        <v>38</v>
      </c>
      <c r="J30" s="8" t="s">
        <v>286</v>
      </c>
      <c r="K30" s="22" t="s">
        <v>287</v>
      </c>
      <c r="L30" s="24" t="s">
        <v>101</v>
      </c>
      <c r="M30" s="26" t="s">
        <v>288</v>
      </c>
      <c r="N30" s="26" t="s">
        <v>289</v>
      </c>
      <c r="O30" s="1" t="str">
        <f>Projetos[[#This Row],[Observações]]&amp;Projetos[[#This Row],[Encerramento da parceria]]&amp;Projetos[[#This Row],[Execução do Projeto]]&amp;Projetos[[#This Row],[Situação atual]]&amp;Projetos[[#This Row],[Comissão Gestora da Parceria]]&amp;Projetos[[#This Row],[Ponto Focal na Instituição Parceira]]&amp;Projetos[[#This Row],[Instituição Parceira]]&amp;Projetos[[#This Row],[Unidade SECTI Responsável]]&amp;Projetos[[#This Row],[Objeto/Finalidade]]&amp;Projetos[[#This Row],[Projeto]]&amp;Projetos[[#This Row],[Valor]]&amp;Projetos[[#This Row],[Fonte de Custeio]]&amp;Projetos[[#This Row],[Mais informações do fomento]]&amp;Projetos[[#This Row],[Fomento]]&amp;Projetos[[#This Row],[Processo SEI]]</f>
        <v>Processos vinculados:                                                                              00001-00055043/2023-07                                                                     00001-00055088/2023-73                                                                                           Agosto de 202403/01/2024 a 05/08/2024Em execuçãoNelson Rodrigues da Cruz                                                                     Bruna Petrnylla Gomes de Sousa                                              Cássia Fonseca Campos Antunes                                                              Eduardo Almeida CastroEDUARDO MOREIRA (61) 9 9143-08INSTITUTO CONECTA BRASILSICIDEspaço de inovação para startups e empreendedores do segmento de tecnologia que
terão acesso gratuito para se capacitar e interagir com o ecossistema de inovação, por meio de palestras,
apresentações, consultorias, e muito networking.INNOVA HUB650000Fonte 100 EPIEmendas Parlamentares Jaqueline Silva e Daniel Donizet                                                                               PORTARIA CONJUNTA 22 e                                                           PORTARIA CONJUNTA 23Termo de Fomento 19/202304008-00001619/2023-07</v>
      </c>
      <c r="P30" s="24" t="s">
        <v>290</v>
      </c>
    </row>
  </sheetData>
  <sortState xmlns:xlrd2="http://schemas.microsoft.com/office/spreadsheetml/2017/richdata2" ref="A2:P25">
    <sortCondition ref="A1:A25"/>
  </sortState>
  <conditionalFormatting sqref="A1:A30">
    <cfRule type="duplicateValues" dxfId="38" priority="1"/>
  </conditionalFormatting>
  <hyperlinks>
    <hyperlink ref="M7" r:id="rId1" display="https://sei.df.gov.br/sei/controlador.php?acao=protocolo_visualizar&amp;id_protocolo=130390873&amp;id_procedimento_atual=142638856&amp;infra_sistema=100000100&amp;infra_unidade_atual=110038152&amp;infra_hash=89d29201f13c7c76399c4c3bd9e913a7963b6b11911ddf815ae4cfc15ef31f34" xr:uid="{00000000-0004-0000-0000-000000000000}"/>
    <hyperlink ref="A15" r:id="rId2" display="https://sei.df.gov.br/sei/controlador.php?acao=protocolo_visualizar&amp;id_protocolo=132316035&amp;id_procedimento_atual=142638856&amp;infra_sistema=100000100&amp;infra_unidade_atual=110038152&amp;infra_hash=e0b44b351cfaa05cc5f528cd76d0f18efe7050c8edefe7ee13665cff58ccd412" xr:uid="{00000000-0004-0000-0000-000001000000}"/>
    <hyperlink ref="A16" r:id="rId3" display="https://sei.df.gov.br/sei/controlador.php?acao=protocolo_visualizar&amp;id_protocolo=134096258&amp;id_procedimento_atual=142638856&amp;infra_sistema=100000100&amp;infra_unidade_atual=110038152&amp;infra_hash=99d911aba52659b3f96e7e8306eb960a6e8524fc63ead419dab325a00f5b29f4" xr:uid="{00000000-0004-0000-0000-000002000000}"/>
    <hyperlink ref="A7" r:id="rId4" display="https://sei.df.gov.br/sei/controlador.php?acao=protocolo_visualizar&amp;id_protocolo=78655147&amp;id_procedimento_atual=142638856&amp;infra_sistema=100000100&amp;infra_unidade_atual=110038152&amp;infra_hash=a2045cec03c0cde42977bd7a8c40b367b39d61d0fb3f7fd44fd92fc51e3d5e8b" xr:uid="{00000000-0004-0000-0000-000003000000}"/>
    <hyperlink ref="A4" r:id="rId5" display="https://sei.df.gov.br/sei/controlador.php?acao=protocolo_visualizar&amp;id_protocolo=34936107&amp;id_procedimento_atual=142638856&amp;infra_sistema=100000100&amp;infra_unidade_atual=110038152&amp;infra_hash=69b2b0ed874b3d9d8ed3bbf34951eadee48d09283b70c32b08c8b52ede5e2ed5" xr:uid="{00000000-0004-0000-0000-000004000000}"/>
    <hyperlink ref="A9" r:id="rId6" display="https://sei.df.gov.br/sei/controlador.php?acao=protocolo_visualizar&amp;id_protocolo=130390873&amp;id_procedimento_atual=142638856&amp;infra_sistema=100000100&amp;infra_unidade_atual=110038152&amp;infra_hash=89d29201f13c7c76399c4c3bd9e913a7963b6b11911ddf815ae4cfc15ef31f34" xr:uid="{00000000-0004-0000-0000-000005000000}"/>
    <hyperlink ref="A6" r:id="rId7" display="https://sei.df.gov.br/sei/controlador.php?acao=protocolo_visualizar&amp;id_protocolo=118170348&amp;id_procedimento_atual=142638856&amp;infra_sistema=100000100&amp;infra_unidade_atual=110038152&amp;infra_hash=347b20c06be1c4804f71e6a597660e41e39331266efccae5ca088591fb91a6bb" xr:uid="{00000000-0004-0000-0000-000006000000}"/>
    <hyperlink ref="A14" r:id="rId8" display="https://sei.df.gov.br/sei/controlador.php?acao=protocolo_visualizar&amp;id_protocolo=132310667&amp;id_procedimento_atual=142638856&amp;infra_sistema=100000100&amp;infra_unidade_atual=110038152&amp;infra_hash=d98ab668fd2ef0773e23d3976f39e0abd4073e130a047fc560701c77d74e2028" xr:uid="{00000000-0004-0000-0000-000007000000}"/>
    <hyperlink ref="A5" r:id="rId9" display="https://sei.df.gov.br/sei/controlador.php?acao=protocolo_visualizar&amp;id_protocolo=91332852&amp;id_procedimento_atual=142638856&amp;infra_sistema=100000100&amp;infra_unidade_atual=110038152&amp;infra_hash=aee6dafbde8061244aca3fdcae4f844cc3193df65053cc62c2be61baf77dd0ce" xr:uid="{00000000-0004-0000-0000-000008000000}"/>
    <hyperlink ref="A19" r:id="rId10" display="https://sei.df.gov.br/sei/controlador.php?acao=protocolo_visualizar&amp;id_protocolo=138717892&amp;id_procedimento_atual=142638856&amp;infra_sistema=100000100&amp;infra_unidade_atual=110038152&amp;infra_hash=10868835005a4c55e9a3434b849c15ef2eaa4b877098c6dafed45f3ac1981345" xr:uid="{00000000-0004-0000-0000-000009000000}"/>
    <hyperlink ref="A3" r:id="rId11" display="https://sei.df.gov.br/sei/controlador.php?acao=protocolo_visualizar&amp;id_protocolo=127824225&amp;id_procedimento_atual=142638856&amp;infra_sistema=100000100&amp;infra_unidade_atual=110038152&amp;infra_hash=6c5e65473d1cc4bbbf82d92f87ffe8649b592b13f19d64352b684544c2a56948" xr:uid="{00000000-0004-0000-0000-00000A000000}"/>
    <hyperlink ref="A11" r:id="rId12" display="https://sei.df.gov.br/sei/controlador.php?acao=protocolo_visualizar&amp;id_protocolo=130818110&amp;id_procedimento_atual=142638856&amp;infra_sistema=100000100&amp;infra_unidade_atual=110038152&amp;infra_hash=d1ed92b1c489c87e725dc8914b39967b2e100086e26d7ff2e2a1dd573f034424" xr:uid="{00000000-0004-0000-0000-00000B000000}"/>
    <hyperlink ref="A10" r:id="rId13" display="https://sei.df.gov.br/sei/controlador.php?acao=protocolo_visualizar&amp;id_protocolo=130696089&amp;id_procedimento_atual=142638856&amp;infra_sistema=100000100&amp;infra_unidade_atual=110038152&amp;infra_hash=00e1904d8d971f922b298b609621b0878f332249fe0a6f0750a690043fd18eea" xr:uid="{00000000-0004-0000-0000-00000C000000}"/>
    <hyperlink ref="A18" r:id="rId14" display="https://sei.df.gov.br/sei/controlador.php?acao=protocolo_visualizar&amp;id_protocolo=138715878&amp;id_procedimento_atual=142638856&amp;infra_sistema=100000100&amp;infra_unidade_atual=110038152&amp;infra_hash=1be27fd5041cb14bf41a68371fb7a8e48b008fb4029de3852c697ac47f467101" xr:uid="{00000000-0004-0000-0000-00000D000000}"/>
    <hyperlink ref="A25" r:id="rId15" display="https://sei.df.gov.br/sei/controlador.php?acao=protocolo_visualizar&amp;id_protocolo=141586414&amp;id_procedimento_atual=142638856&amp;infra_sistema=100000100&amp;infra_unidade_atual=110038152&amp;infra_hash=e5a8e9db79c6964cb489ab99dfd926fbab73c834a5097c36f2fd83bb688aa0f6" xr:uid="{00000000-0004-0000-0000-00000E000000}"/>
    <hyperlink ref="A23" r:id="rId16" display="https://sei.df.gov.br/sei/controlador.php?acao=protocolo_visualizar&amp;id_protocolo=141552768&amp;id_procedimento_atual=142638856&amp;infra_sistema=100000100&amp;infra_unidade_atual=110038152&amp;infra_hash=37e02d4c4898536a4e50b7b4611368c7f8e21d36ef1c07d920de883660dc9995" xr:uid="{00000000-0004-0000-0000-00000F000000}"/>
    <hyperlink ref="A24" r:id="rId17" display="https://sei.df.gov.br/sei/controlador.php?acao=protocolo_visualizar&amp;id_protocolo=141565405&amp;id_procedimento_atual=142638856&amp;infra_sistema=100000100&amp;infra_unidade_atual=110038152&amp;infra_hash=f52b4642c3e23b43d51010427b708966431b47bfbfbba42da4f12eec777e80fb" xr:uid="{00000000-0004-0000-0000-000010000000}"/>
    <hyperlink ref="A21" r:id="rId18" display="https://sei.df.gov.br/sei/controlador.php?acao=protocolo_visualizar&amp;id_protocolo=140541964&amp;id_procedimento_atual=142638856&amp;infra_sistema=100000100&amp;infra_unidade_atual=110038152&amp;infra_hash=8c3d273a92b1d8b5ea6a295df8138154f8a27931b93144ff796afd7a7c86ec4e" xr:uid="{00000000-0004-0000-0000-000011000000}"/>
    <hyperlink ref="A20" r:id="rId19" display="https://sei.df.gov.br/sei/controlador.php?acao=protocolo_visualizar&amp;id_protocolo=140536566&amp;id_procedimento_atual=142638856&amp;infra_sistema=100000100&amp;infra_unidade_atual=110038152&amp;infra_hash=4f2ed80df210ca142642be862342e2b338378ed42d267d17e5c5af782a0be4df" xr:uid="{00000000-0004-0000-0000-000012000000}"/>
    <hyperlink ref="A22" r:id="rId20" display="https://sei.df.gov.br/sei/controlador.php?acao=protocolo_visualizar&amp;id_protocolo=140543082&amp;id_procedimento_atual=142638856&amp;infra_sistema=100000100&amp;infra_unidade_atual=110038152&amp;infra_hash=e6ccb1f0f83ac3dcdc8216b6db0d21f942ae7f32a39c1acd02d6b5f7d2f4f1ee" xr:uid="{00000000-0004-0000-0000-000013000000}"/>
    <hyperlink ref="A12" r:id="rId21" display="https://sei.df.gov.br/sei/controlador.php?acao=protocolo_visualizar&amp;id_protocolo=130955893&amp;id_procedimento_atual=142638856&amp;infra_sistema=100000100&amp;infra_unidade_atual=110038152&amp;infra_hash=848b72e95c1166e6f93ac5c177b1e0825afa79ffc643329f5cc649664a3c4a41" xr:uid="{00000000-0004-0000-0000-000014000000}"/>
    <hyperlink ref="A13" r:id="rId22" display="https://sei.df.gov.br/sei/controlador.php?acao=protocolo_visualizar&amp;id_protocolo=131465441&amp;id_procedimento_atual=142638856&amp;infra_sistema=100000100&amp;infra_unidade_atual=110038152&amp;infra_hash=ca0c051e5635850fbdc4b8fff991d2dc2fcf9986076a93f575cd8aaec0b92899" xr:uid="{00000000-0004-0000-0000-000015000000}"/>
  </hyperlinks>
  <pageMargins left="0.7" right="0.7" top="0.75" bottom="0.75" header="0.3" footer="0.3"/>
  <pageSetup paperSize="9" orientation="landscape" horizontalDpi="1200" verticalDpi="1200" r:id="rId23"/>
  <drawing r:id="rId24"/>
  <tableParts count="1">
    <tablePart r:id="rId2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949E55-E61E-4220-BB9E-BBD675AA66D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Henrique do Vale Rocha Filho</dc:creator>
  <cp:lastModifiedBy>Henrique do Vale Rocha Filho</cp:lastModifiedBy>
  <cp:lastPrinted>2023-12-19T14:05:20Z</cp:lastPrinted>
  <dcterms:created xsi:type="dcterms:W3CDTF">2023-12-04T19:20:06Z</dcterms:created>
  <dcterms:modified xsi:type="dcterms:W3CDTF">2024-01-23T15:57:00Z</dcterms:modified>
</cp:coreProperties>
</file>